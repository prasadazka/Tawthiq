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3" activeTab="5" autoFilterDateGrouping="1"/>
  </bookViews>
  <sheets>
    <sheet xmlns:r="http://schemas.openxmlformats.org/officeDocument/2006/relationships" name="Trial Bal" sheetId="1" state="visible" r:id="rId1"/>
    <sheet xmlns:r="http://schemas.openxmlformats.org/officeDocument/2006/relationships" name="TB2023" sheetId="2" state="visible" r:id="rId2"/>
    <sheet xmlns:r="http://schemas.openxmlformats.org/officeDocument/2006/relationships" name="Sch III Ratios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ub Grouping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Add Notes" sheetId="7" state="visible" r:id="rId7"/>
    <sheet xmlns:r="http://schemas.openxmlformats.org/officeDocument/2006/relationships" name="BS" sheetId="8" state="visible" r:id="rId8"/>
    <sheet xmlns:r="http://schemas.openxmlformats.org/officeDocument/2006/relationships" name="CFS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IT Dep" sheetId="11" state="visible" r:id="rId11"/>
    <sheet xmlns:r="http://schemas.openxmlformats.org/officeDocument/2006/relationships" name="Com Dep" sheetId="12" state="visible" r:id="rId12"/>
  </sheets>
  <externalReferences>
    <externalReference xmlns:r="http://schemas.openxmlformats.org/officeDocument/2006/relationships" r:id="rId13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#,##0_ ;\-#,##0\ "/>
    <numFmt numFmtId="168" formatCode="&quot;&quot;0.00"/>
    <numFmt numFmtId="169" formatCode="&quot;&quot;0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134"/>
      <sz val="12"/>
      <scheme val="minor"/>
    </font>
    <font>
      <name val="Times New Roman"/>
      <charset val="134"/>
      <color theme="1"/>
      <sz val="12"/>
    </font>
    <font>
      <name val="Calibri"/>
      <charset val="134"/>
      <b val="1"/>
      <color theme="1"/>
      <sz val="12"/>
      <scheme val="minor"/>
    </font>
    <font>
      <name val="Calibri"/>
      <charset val="134"/>
      <color theme="1"/>
      <sz val="12"/>
      <scheme val="minor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b val="1"/>
      <sz val="12"/>
      <scheme val="minor"/>
    </font>
    <font>
      <name val="Calibri"/>
      <charset val="134"/>
      <color rgb="FFFF0000"/>
      <sz val="12"/>
      <scheme val="minor"/>
    </font>
    <font>
      <name val="Calibri"/>
      <charset val="134"/>
      <b val="1"/>
      <color rgb="FFFF0000"/>
      <sz val="12"/>
      <scheme val="minor"/>
    </font>
    <font>
      <name val="Arial"/>
      <charset val="134"/>
      <i val="1"/>
      <color theme="1"/>
      <sz val="9"/>
    </font>
    <font>
      <name val="Arial"/>
      <charset val="134"/>
      <color theme="1"/>
      <sz val="9"/>
    </font>
    <font>
      <name val="Arial"/>
      <charset val="134"/>
      <b val="1"/>
      <color theme="1"/>
      <sz val="12"/>
    </font>
    <font>
      <name val="Arial"/>
      <charset val="134"/>
      <color theme="1"/>
      <sz val="10"/>
    </font>
    <font>
      <name val="Arial"/>
      <charset val="134"/>
      <b val="1"/>
      <color theme="1"/>
      <sz val="9"/>
    </font>
    <font>
      <name val="Arial"/>
      <charset val="134"/>
      <color rgb="FFFF0000"/>
      <sz val="9"/>
    </font>
    <font>
      <name val="Arial"/>
      <charset val="134"/>
      <i val="1"/>
      <color rgb="FFFF0000"/>
      <sz val="9"/>
    </font>
    <font>
      <name val="Arial"/>
      <charset val="134"/>
      <b val="1"/>
      <color rgb="FFFF0000"/>
      <sz val="9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4">
    <xf numFmtId="0" fontId="22" fillId="0" borderId="0"/>
    <xf numFmtId="43" fontId="22" fillId="0" borderId="0"/>
    <xf numFmtId="43" fontId="22" fillId="0" borderId="0"/>
    <xf numFmtId="43" fontId="10" fillId="0" borderId="0"/>
  </cellStyleXfs>
  <cellXfs count="92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1" pivotButton="0" quotePrefix="0" xfId="1"/>
    <xf numFmtId="164" fontId="3" fillId="0" borderId="5" applyAlignment="1" pivotButton="0" quotePrefix="0" xfId="1">
      <alignment wrapText="1"/>
    </xf>
    <xf numFmtId="164" fontId="3" fillId="0" borderId="6" pivotButton="0" quotePrefix="0" xfId="1"/>
    <xf numFmtId="164" fontId="3" fillId="0" borderId="7" pivotButton="0" quotePrefix="0" xfId="1"/>
    <xf numFmtId="164" fontId="3" fillId="0" borderId="3" pivotButton="0" quotePrefix="0" xfId="1"/>
    <xf numFmtId="164" fontId="3" fillId="0" borderId="8" pivotButton="0" quotePrefix="0" xfId="1"/>
    <xf numFmtId="164" fontId="3" fillId="0" borderId="10" applyAlignment="1" pivotButton="0" quotePrefix="0" xfId="1">
      <alignment horizontal="left"/>
    </xf>
    <xf numFmtId="164" fontId="3" fillId="0" borderId="11" pivotButton="0" quotePrefix="0" xfId="1"/>
    <xf numFmtId="164" fontId="3" fillId="0" borderId="12" pivotButton="0" quotePrefix="0" xfId="1"/>
    <xf numFmtId="164" fontId="3" fillId="0" borderId="13" pivotButton="0" quotePrefix="0" xfId="1"/>
    <xf numFmtId="164" fontId="1" fillId="0" borderId="15" applyAlignment="1" pivotButton="0" quotePrefix="0" xfId="1">
      <alignment horizontal="center" vertical="center"/>
    </xf>
    <xf numFmtId="164" fontId="3" fillId="0" borderId="16" applyAlignment="1" pivotButton="0" quotePrefix="0" xfId="1">
      <alignment horizontal="left"/>
    </xf>
    <xf numFmtId="164" fontId="3" fillId="0" borderId="17" pivotButton="0" quotePrefix="0" xfId="1"/>
    <xf numFmtId="164" fontId="3" fillId="0" borderId="18" pivotButton="0" quotePrefix="0" xfId="1"/>
    <xf numFmtId="164" fontId="3" fillId="0" borderId="0" pivotButton="0" quotePrefix="0" xfId="1"/>
    <xf numFmtId="164" fontId="3" fillId="0" borderId="19" applyAlignment="1" pivotButton="0" quotePrefix="0" xfId="1">
      <alignment horizontal="left"/>
    </xf>
    <xf numFmtId="165" fontId="3" fillId="0" borderId="1" applyAlignment="1" pivotButton="0" quotePrefix="0" xfId="1">
      <alignment horizontal="left"/>
    </xf>
    <xf numFmtId="164" fontId="3" fillId="0" borderId="15" applyAlignment="1" pivotButton="0" quotePrefix="0" xfId="1">
      <alignment horizontal="left"/>
    </xf>
    <xf numFmtId="164" fontId="3" fillId="0" borderId="16" applyAlignment="1" pivotButton="0" quotePrefix="0" xfId="1">
      <alignment horizontal="right" vertical="top"/>
    </xf>
    <xf numFmtId="164" fontId="3" fillId="0" borderId="19" applyAlignment="1" pivotButton="0" quotePrefix="0" xfId="1">
      <alignment horizontal="right"/>
    </xf>
    <xf numFmtId="165" fontId="0" fillId="0" borderId="15" pivotButton="0" quotePrefix="0" xfId="1"/>
    <xf numFmtId="164" fontId="3" fillId="0" borderId="16" pivotButton="0" quotePrefix="0" xfId="1"/>
    <xf numFmtId="164" fontId="1" fillId="0" borderId="20" applyAlignment="1" pivotButton="0" quotePrefix="0" xfId="1">
      <alignment horizontal="left"/>
    </xf>
    <xf numFmtId="164" fontId="1" fillId="0" borderId="21" pivotButton="0" quotePrefix="0" xfId="1"/>
    <xf numFmtId="164" fontId="1" fillId="0" borderId="22" pivotButton="0" quotePrefix="0" xfId="1"/>
    <xf numFmtId="164" fontId="1" fillId="0" borderId="23" pivotButton="0" quotePrefix="0" xfId="1"/>
    <xf numFmtId="165" fontId="0" fillId="0" borderId="24" pivotButton="0" quotePrefix="0" xfId="1"/>
    <xf numFmtId="164" fontId="1" fillId="0" borderId="25" pivotButton="0" quotePrefix="0" xfId="1"/>
    <xf numFmtId="164" fontId="1" fillId="0" borderId="24" applyAlignment="1" pivotButton="0" quotePrefix="0" xfId="1">
      <alignment horizontal="left"/>
    </xf>
    <xf numFmtId="165" fontId="0" fillId="0" borderId="9" pivotButton="0" quotePrefix="0" xfId="1"/>
    <xf numFmtId="164" fontId="1" fillId="0" borderId="0" applyAlignment="1" pivotButton="0" quotePrefix="0" xfId="1">
      <alignment horizontal="left"/>
    </xf>
    <xf numFmtId="164" fontId="1" fillId="0" borderId="0" pivotButton="0" quotePrefix="0" xfId="1"/>
    <xf numFmtId="165" fontId="0" fillId="0" borderId="0" pivotButton="0" quotePrefix="0" xfId="1"/>
    <xf numFmtId="164" fontId="1" fillId="0" borderId="21" pivotButton="0" quotePrefix="0" xfId="2"/>
    <xf numFmtId="164" fontId="1" fillId="0" borderId="22" applyAlignment="1" pivotButton="0" quotePrefix="0" xfId="2">
      <alignment wrapText="1"/>
    </xf>
    <xf numFmtId="164" fontId="1" fillId="0" borderId="26" applyAlignment="1" pivotButton="0" quotePrefix="0" xfId="2">
      <alignment wrapText="1"/>
    </xf>
    <xf numFmtId="164" fontId="1" fillId="0" borderId="21" applyAlignment="1" pivotButton="0" quotePrefix="0" xfId="2">
      <alignment wrapText="1"/>
    </xf>
    <xf numFmtId="164" fontId="1" fillId="0" borderId="27" applyAlignment="1" pivotButton="0" quotePrefix="0" xfId="2">
      <alignment wrapText="1"/>
    </xf>
    <xf numFmtId="164" fontId="1" fillId="0" borderId="22" applyAlignment="1" pivotButton="0" quotePrefix="0" xfId="2">
      <alignment wrapText="1"/>
    </xf>
    <xf numFmtId="164" fontId="1" fillId="0" borderId="20" applyAlignment="1" pivotButton="0" quotePrefix="0" xfId="2">
      <alignment wrapText="1"/>
    </xf>
    <xf numFmtId="164" fontId="1" fillId="0" borderId="18" applyAlignment="1" pivotButton="0" quotePrefix="0" xfId="2">
      <alignment wrapText="1"/>
    </xf>
    <xf numFmtId="164" fontId="1" fillId="0" borderId="17" applyAlignment="1" pivotButton="0" quotePrefix="0" xfId="2">
      <alignment wrapText="1"/>
    </xf>
    <xf numFmtId="14" fontId="1" fillId="0" borderId="0" applyAlignment="1" pivotButton="0" quotePrefix="0" xfId="2">
      <alignment wrapText="1"/>
    </xf>
    <xf numFmtId="164" fontId="1" fillId="0" borderId="16" applyAlignment="1" pivotButton="0" quotePrefix="0" xfId="2">
      <alignment wrapText="1"/>
    </xf>
    <xf numFmtId="164" fontId="1" fillId="0" borderId="0" applyAlignment="1" pivotButton="0" quotePrefix="0" xfId="2">
      <alignment wrapText="1"/>
    </xf>
    <xf numFmtId="164" fontId="1" fillId="0" borderId="28" applyAlignment="1" pivotButton="0" quotePrefix="0" xfId="2">
      <alignment wrapText="1"/>
    </xf>
    <xf numFmtId="164" fontId="3" fillId="0" borderId="20" pivotButton="0" quotePrefix="0" xfId="2"/>
    <xf numFmtId="0" fontId="0" fillId="0" borderId="18" pivotButton="0" quotePrefix="0" xfId="0"/>
    <xf numFmtId="164" fontId="3" fillId="0" borderId="17" applyAlignment="1" pivotButton="0" quotePrefix="0" xfId="2">
      <alignment wrapText="1"/>
    </xf>
    <xf numFmtId="14" fontId="3" fillId="0" borderId="0" applyAlignment="1" pivotButton="0" quotePrefix="0" xfId="2">
      <alignment wrapText="1"/>
    </xf>
    <xf numFmtId="164" fontId="3" fillId="0" borderId="16" applyAlignment="1" pivotButton="0" quotePrefix="0" xfId="2">
      <alignment wrapText="1"/>
    </xf>
    <xf numFmtId="164" fontId="3" fillId="0" borderId="0" applyAlignment="1" pivotButton="0" quotePrefix="0" xfId="2">
      <alignment wrapText="1"/>
    </xf>
    <xf numFmtId="164" fontId="3" fillId="0" borderId="28" applyAlignment="1" pivotButton="0" quotePrefix="0" xfId="2">
      <alignment wrapText="1"/>
    </xf>
    <xf numFmtId="164" fontId="3" fillId="0" borderId="18" applyAlignment="1" pivotButton="0" quotePrefix="0" xfId="2">
      <alignment wrapText="1"/>
    </xf>
    <xf numFmtId="0" fontId="0" fillId="0" borderId="20" pivotButton="0" quotePrefix="0" xfId="0"/>
    <xf numFmtId="0" fontId="0" fillId="0" borderId="17" pivotButton="0" quotePrefix="0" xfId="0"/>
    <xf numFmtId="14" fontId="0" fillId="0" borderId="0" pivotButton="0" quotePrefix="0" xfId="0"/>
    <xf numFmtId="165" fontId="0" fillId="0" borderId="16" pivotButton="0" quotePrefix="0" xfId="2"/>
    <xf numFmtId="165" fontId="0" fillId="0" borderId="0" pivotButton="0" quotePrefix="0" xfId="2"/>
    <xf numFmtId="164" fontId="3" fillId="0" borderId="28" pivotButton="0" quotePrefix="0" xfId="2"/>
    <xf numFmtId="165" fontId="0" fillId="0" borderId="18" pivotButton="0" quotePrefix="0" xfId="2"/>
    <xf numFmtId="0" fontId="2" fillId="0" borderId="20" pivotButton="0" quotePrefix="0" xfId="0"/>
    <xf numFmtId="165" fontId="2" fillId="0" borderId="21" pivotButton="0" quotePrefix="0" xfId="0"/>
    <xf numFmtId="165" fontId="2" fillId="0" borderId="25" pivotButton="0" quotePrefix="0" xfId="0"/>
    <xf numFmtId="165" fontId="2" fillId="0" borderId="22" pivotButton="0" quotePrefix="0" xfId="0"/>
    <xf numFmtId="166" fontId="2" fillId="0" borderId="16" pivotButton="0" quotePrefix="0" xfId="0"/>
    <xf numFmtId="166" fontId="2" fillId="0" borderId="0" pivotButton="0" quotePrefix="0" xfId="0"/>
    <xf numFmtId="165" fontId="2" fillId="0" borderId="18" pivotButton="0" quotePrefix="0" xfId="0"/>
    <xf numFmtId="165" fontId="2" fillId="0" borderId="17" pivotButton="0" quotePrefix="0" xfId="0"/>
    <xf numFmtId="0" fontId="3" fillId="0" borderId="20" pivotButton="0" quotePrefix="0" xfId="0"/>
    <xf numFmtId="0" fontId="3" fillId="0" borderId="28" pivotButton="0" quotePrefix="0" xfId="0"/>
    <xf numFmtId="14" fontId="3" fillId="0" borderId="28" applyAlignment="1" pivotButton="0" quotePrefix="0" xfId="0">
      <alignment horizontal="center"/>
    </xf>
    <xf numFmtId="165" fontId="0" fillId="0" borderId="16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17" pivotButton="0" quotePrefix="0" xfId="0"/>
    <xf numFmtId="165" fontId="2" fillId="0" borderId="5" pivotButton="0" quotePrefix="0" xfId="0"/>
    <xf numFmtId="165" fontId="2" fillId="0" borderId="6" pivotButton="0" quotePrefix="0" xfId="0"/>
    <xf numFmtId="165" fontId="2" fillId="0" borderId="3" pivotButton="0" quotePrefix="0" xfId="0"/>
    <xf numFmtId="165" fontId="2" fillId="0" borderId="7" pivotButton="0" quotePrefix="0" xfId="0"/>
    <xf numFmtId="164" fontId="3" fillId="0" borderId="18" pivotButton="0" quotePrefix="0" xfId="2"/>
    <xf numFmtId="165" fontId="0" fillId="0" borderId="18" pivotButton="0" quotePrefix="0" xfId="1"/>
    <xf numFmtId="0" fontId="3" fillId="0" borderId="28" applyAlignment="1" pivotButton="0" quotePrefix="0" xfId="0">
      <alignment horizontal="center"/>
    </xf>
    <xf numFmtId="164" fontId="0" fillId="0" borderId="16" pivotButton="0" quotePrefix="0" xfId="2"/>
    <xf numFmtId="165" fontId="3" fillId="0" borderId="18" pivotButton="0" quotePrefix="0" xfId="1"/>
    <xf numFmtId="0" fontId="3" fillId="0" borderId="0" pivotButton="0" quotePrefix="0" xfId="0"/>
    <xf numFmtId="14" fontId="3" fillId="0" borderId="0" applyAlignment="1" pivotButton="0" quotePrefix="0" xfId="0">
      <alignment horizontal="center"/>
    </xf>
    <xf numFmtId="164" fontId="3" fillId="0" borderId="17" pivotButton="0" quotePrefix="0" xfId="2"/>
    <xf numFmtId="165" fontId="0" fillId="0" borderId="17" pivotButton="0" quotePrefix="0" xfId="2"/>
    <xf numFmtId="165" fontId="2" fillId="0" borderId="21" pivotButton="0" quotePrefix="0" xfId="2"/>
    <xf numFmtId="165" fontId="2" fillId="0" borderId="25" pivotButton="0" quotePrefix="0" xfId="2"/>
    <xf numFmtId="164" fontId="3" fillId="0" borderId="29" pivotButton="0" quotePrefix="0" xfId="1"/>
    <xf numFmtId="164" fontId="3" fillId="0" borderId="4" pivotButton="0" quotePrefix="0" xfId="1"/>
    <xf numFmtId="164" fontId="3" fillId="0" borderId="30" pivotButton="0" quotePrefix="0" xfId="1"/>
    <xf numFmtId="164" fontId="3" fillId="0" borderId="28" pivotButton="0" quotePrefix="0" xfId="1"/>
    <xf numFmtId="164" fontId="3" fillId="0" borderId="17" applyAlignment="1" pivotButton="0" quotePrefix="0" xfId="1">
      <alignment horizontal="left"/>
    </xf>
    <xf numFmtId="164" fontId="3" fillId="0" borderId="32" applyAlignment="1" pivotButton="0" quotePrefix="0" xfId="1">
      <alignment horizontal="left"/>
    </xf>
    <xf numFmtId="164" fontId="3" fillId="0" borderId="17" applyAlignment="1" pivotButton="0" quotePrefix="0" xfId="1">
      <alignment horizontal="right"/>
    </xf>
    <xf numFmtId="164" fontId="3" fillId="0" borderId="32" applyAlignment="1" pivotButton="0" quotePrefix="0" xfId="1">
      <alignment horizontal="right"/>
    </xf>
    <xf numFmtId="166" fontId="0" fillId="0" borderId="0" pivotButton="0" quotePrefix="0" xfId="0"/>
    <xf numFmtId="0" fontId="1" fillId="0" borderId="23" applyAlignment="1" pivotButton="0" quotePrefix="0" xfId="2">
      <alignment wrapText="1"/>
    </xf>
    <xf numFmtId="164" fontId="2" fillId="0" borderId="0" applyAlignment="1" pivotButton="0" quotePrefix="0" xfId="0">
      <alignment horizontal="center" wrapText="1"/>
    </xf>
    <xf numFmtId="164" fontId="1" fillId="0" borderId="0" applyAlignment="1" pivotButton="0" quotePrefix="0" xfId="2">
      <alignment wrapText="1"/>
    </xf>
    <xf numFmtId="164" fontId="1" fillId="0" borderId="32" applyAlignment="1" pivotButton="0" quotePrefix="0" xfId="2">
      <alignment wrapText="1"/>
    </xf>
    <xf numFmtId="164" fontId="0" fillId="0" borderId="17" applyAlignment="1" pivotButton="0" quotePrefix="0" xfId="2">
      <alignment wrapText="1"/>
    </xf>
    <xf numFmtId="164" fontId="3" fillId="0" borderId="32" applyAlignment="1" pivotButton="0" quotePrefix="0" xfId="2">
      <alignment wrapText="1"/>
    </xf>
    <xf numFmtId="165" fontId="0" fillId="0" borderId="0" pivotButton="0" quotePrefix="0" xfId="1"/>
    <xf numFmtId="165" fontId="0" fillId="0" borderId="32" pivotButton="0" quotePrefix="0" xfId="2"/>
    <xf numFmtId="165" fontId="0" fillId="0" borderId="20" pivotButton="0" quotePrefix="0" xfId="1"/>
    <xf numFmtId="166" fontId="2" fillId="0" borderId="25" pivotButton="0" quotePrefix="0" xfId="0"/>
    <xf numFmtId="165" fontId="2" fillId="0" borderId="23" pivotButton="0" quotePrefix="0" xfId="0"/>
    <xf numFmtId="166" fontId="2" fillId="0" borderId="32" pivotButton="0" quotePrefix="0" xfId="0"/>
    <xf numFmtId="165" fontId="2" fillId="0" borderId="33" pivotButton="0" quotePrefix="0" xfId="1"/>
    <xf numFmtId="164" fontId="2" fillId="0" borderId="34" pivotButton="0" quotePrefix="0" xfId="0"/>
    <xf numFmtId="165" fontId="2" fillId="0" borderId="34" pivotButton="0" quotePrefix="0" xfId="1"/>
    <xf numFmtId="164" fontId="0" fillId="0" borderId="34" pivotButton="0" quotePrefix="0" xfId="0"/>
    <xf numFmtId="166" fontId="2" fillId="0" borderId="17" pivotButton="0" quotePrefix="0" xfId="0"/>
    <xf numFmtId="165" fontId="2" fillId="0" borderId="4" pivotButton="0" quotePrefix="0" xfId="0"/>
    <xf numFmtId="165" fontId="0" fillId="0" borderId="34" pivotButton="0" quotePrefix="0" xfId="0"/>
    <xf numFmtId="166" fontId="2" fillId="0" borderId="7" pivotButton="0" quotePrefix="0" xfId="0"/>
    <xf numFmtId="166" fontId="2" fillId="0" borderId="4" pivotButton="0" quotePrefix="0" xfId="0"/>
    <xf numFmtId="166" fontId="2" fillId="0" borderId="18" pivotButton="0" quotePrefix="0" xfId="0"/>
    <xf numFmtId="164" fontId="0" fillId="0" borderId="18" pivotButton="0" quotePrefix="0" xfId="2"/>
    <xf numFmtId="165" fontId="4" fillId="0" borderId="18" pivotButton="0" quotePrefix="0" xfId="0"/>
    <xf numFmtId="166" fontId="0" fillId="0" borderId="18" pivotButton="0" quotePrefix="0" xfId="0"/>
    <xf numFmtId="165" fontId="0" fillId="0" borderId="32" pivotButton="0" quotePrefix="0" xfId="0"/>
    <xf numFmtId="166" fontId="0" fillId="0" borderId="18" pivotButton="0" quotePrefix="0" xfId="2"/>
    <xf numFmtId="165" fontId="4" fillId="0" borderId="18" pivotButton="0" quotePrefix="0" xfId="2"/>
    <xf numFmtId="166" fontId="0" fillId="0" borderId="32" pivotButton="0" quotePrefix="0" xfId="2"/>
    <xf numFmtId="166" fontId="0" fillId="0" borderId="17" pivotButton="0" quotePrefix="0" xfId="2"/>
    <xf numFmtId="166" fontId="2" fillId="0" borderId="25" pivotButton="0" quotePrefix="0" xfId="2"/>
    <xf numFmtId="165" fontId="2" fillId="0" borderId="35" pivotButton="0" quotePrefix="0" xfId="2"/>
    <xf numFmtId="0" fontId="0" fillId="0" borderId="34" pivotButton="0" quotePrefix="0" xfId="0"/>
    <xf numFmtId="165" fontId="0" fillId="0" borderId="34" pivotButton="0" quotePrefix="0" xfId="1"/>
    <xf numFmtId="165" fontId="0" fillId="0" borderId="36" pivotButton="0" quotePrefix="0" xfId="1"/>
    <xf numFmtId="165" fontId="0" fillId="0" borderId="37" pivotButton="0" quotePrefix="0" xfId="1"/>
    <xf numFmtId="0" fontId="0" fillId="0" borderId="38" pivotButton="0" quotePrefix="0" xfId="0"/>
    <xf numFmtId="0" fontId="0" fillId="0" borderId="12" pivotButton="0" quotePrefix="0" xfId="0"/>
    <xf numFmtId="0" fontId="0" fillId="0" borderId="11" pivotButton="0" quotePrefix="0" xfId="0"/>
    <xf numFmtId="14" fontId="0" fillId="0" borderId="13" pivotButton="0" quotePrefix="0" xfId="0"/>
    <xf numFmtId="166" fontId="2" fillId="0" borderId="32" pivotButton="0" quotePrefix="0" xfId="2"/>
    <xf numFmtId="165" fontId="0" fillId="0" borderId="40" pivotButton="0" quotePrefix="0" xfId="1"/>
    <xf numFmtId="164" fontId="0" fillId="0" borderId="40" pivotButton="0" quotePrefix="0" xfId="0"/>
    <xf numFmtId="0" fontId="0" fillId="0" borderId="40" pivotButton="0" quotePrefix="0" xfId="0"/>
    <xf numFmtId="166" fontId="2" fillId="0" borderId="22" pivotButton="0" quotePrefix="0" xfId="0"/>
    <xf numFmtId="0" fontId="0" fillId="0" borderId="23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1" pivotButton="0" quotePrefix="0" xfId="0"/>
    <xf numFmtId="0" fontId="1" fillId="0" borderId="41" applyAlignment="1" pivotButton="0" quotePrefix="0" xfId="0">
      <alignment horizontal="center"/>
    </xf>
    <xf numFmtId="0" fontId="1" fillId="0" borderId="40" pivotButton="0" quotePrefix="0" xfId="0"/>
    <xf numFmtId="0" fontId="1" fillId="0" borderId="37" applyAlignment="1" pivotButton="0" quotePrefix="0" xfId="0">
      <alignment horizontal="right"/>
    </xf>
    <xf numFmtId="0" fontId="1" fillId="0" borderId="18" applyAlignment="1" pivotButton="0" quotePrefix="0" xfId="0">
      <alignment horizontal="right"/>
    </xf>
    <xf numFmtId="0" fontId="1" fillId="0" borderId="2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43" applyAlignment="1" pivotButton="0" quotePrefix="0" xfId="0">
      <alignment horizontal="right"/>
    </xf>
    <xf numFmtId="0" fontId="1" fillId="0" borderId="43" applyAlignment="1" pivotButton="0" quotePrefix="0" xfId="0">
      <alignment horizontal="center"/>
    </xf>
    <xf numFmtId="0" fontId="1" fillId="0" borderId="45" applyAlignment="1" pivotButton="0" quotePrefix="0" xfId="0">
      <alignment horizontal="center"/>
    </xf>
    <xf numFmtId="0" fontId="0" fillId="0" borderId="41" pivotButton="0" quotePrefix="0" xfId="0"/>
    <xf numFmtId="0" fontId="1" fillId="0" borderId="42" applyAlignment="1" pivotButton="0" quotePrefix="0" xfId="0">
      <alignment horizontal="center"/>
    </xf>
    <xf numFmtId="0" fontId="1" fillId="0" borderId="18" pivotButton="0" quotePrefix="0" xfId="0"/>
    <xf numFmtId="0" fontId="3" fillId="0" borderId="18" applyAlignment="1" pivotButton="0" quotePrefix="0" xfId="0">
      <alignment horizontal="center"/>
    </xf>
    <xf numFmtId="3" fontId="3" fillId="0" borderId="18" pivotButton="0" quotePrefix="0" xfId="0"/>
    <xf numFmtId="3" fontId="3" fillId="0" borderId="28" pivotButton="0" quotePrefix="0" xfId="0"/>
    <xf numFmtId="165" fontId="3" fillId="0" borderId="18" pivotButton="0" quotePrefix="0" xfId="1"/>
    <xf numFmtId="14" fontId="3" fillId="0" borderId="18" applyAlignment="1" pivotButton="0" quotePrefix="0" xfId="0">
      <alignment horizontal="center"/>
    </xf>
    <xf numFmtId="3" fontId="3" fillId="0" borderId="43" pivotButton="0" quotePrefix="0" xfId="0"/>
    <xf numFmtId="3" fontId="3" fillId="0" borderId="44" pivotButton="0" quotePrefix="0" xfId="0"/>
    <xf numFmtId="165" fontId="3" fillId="0" borderId="43" pivotButton="0" quotePrefix="0" xfId="1"/>
    <xf numFmtId="0" fontId="1" fillId="0" borderId="28" pivotButton="0" quotePrefix="0" xfId="0"/>
    <xf numFmtId="14" fontId="1" fillId="0" borderId="18" applyAlignment="1" pivotButton="0" quotePrefix="0" xfId="0">
      <alignment horizontal="center"/>
    </xf>
    <xf numFmtId="165" fontId="2" fillId="0" borderId="37" pivotButton="0" quotePrefix="0" xfId="1"/>
    <xf numFmtId="3" fontId="1" fillId="0" borderId="37" pivotButton="0" quotePrefix="0" xfId="0"/>
    <xf numFmtId="3" fontId="1" fillId="0" borderId="36" pivotButton="0" quotePrefix="0" xfId="0"/>
    <xf numFmtId="165" fontId="1" fillId="0" borderId="43" pivotButton="0" quotePrefix="0" xfId="1"/>
    <xf numFmtId="3" fontId="3" fillId="0" borderId="0" pivotButton="0" quotePrefix="0" xfId="0"/>
    <xf numFmtId="165" fontId="3" fillId="0" borderId="41" pivotButton="0" quotePrefix="0" xfId="1"/>
    <xf numFmtId="3" fontId="3" fillId="0" borderId="17" pivotButton="0" quotePrefix="0" xfId="0"/>
    <xf numFmtId="3" fontId="1" fillId="0" borderId="34" pivotButton="0" quotePrefix="0" xfId="0"/>
    <xf numFmtId="165" fontId="1" fillId="0" borderId="37" pivotButton="0" quotePrefix="0" xfId="1"/>
    <xf numFmtId="165" fontId="3" fillId="0" borderId="37" pivotButton="0" quotePrefix="0" xfId="1"/>
    <xf numFmtId="0" fontId="1" fillId="0" borderId="43" pivotButton="0" quotePrefix="0" xfId="0"/>
    <xf numFmtId="0" fontId="1" fillId="0" borderId="44" pivotButton="0" quotePrefix="0" xfId="0"/>
    <xf numFmtId="3" fontId="1" fillId="0" borderId="0" pivotButton="0" quotePrefix="0" xfId="0"/>
    <xf numFmtId="0" fontId="1" fillId="0" borderId="36" pivotButton="0" quotePrefix="0" xfId="0"/>
    <xf numFmtId="0" fontId="1" fillId="0" borderId="34" pivotButton="0" quotePrefix="0" xfId="0"/>
    <xf numFmtId="0" fontId="1" fillId="0" borderId="46" applyAlignment="1" pivotButton="0" quotePrefix="0" xfId="0">
      <alignment horizontal="center"/>
    </xf>
    <xf numFmtId="3" fontId="0" fillId="0" borderId="0" pivotButton="0" quotePrefix="0" xfId="0"/>
    <xf numFmtId="43" fontId="3" fillId="0" borderId="40" pivotButton="0" quotePrefix="0" xfId="3"/>
    <xf numFmtId="43" fontId="3" fillId="0" borderId="37" applyAlignment="1" pivotButton="0" quotePrefix="0" xfId="3">
      <alignment wrapText="1"/>
    </xf>
    <xf numFmtId="0" fontId="3" fillId="0" borderId="42" pivotButton="0" quotePrefix="0" xfId="0"/>
    <xf numFmtId="164" fontId="3" fillId="0" borderId="41" pivotButton="0" quotePrefix="0" xfId="3"/>
    <xf numFmtId="43" fontId="3" fillId="0" borderId="0" pivotButton="0" quotePrefix="0" xfId="3"/>
    <xf numFmtId="164" fontId="3" fillId="0" borderId="18" pivotButton="0" quotePrefix="0" xfId="3"/>
    <xf numFmtId="164" fontId="3" fillId="0" borderId="41" applyAlignment="1" pivotButton="0" quotePrefix="0" xfId="3">
      <alignment horizontal="center"/>
    </xf>
    <xf numFmtId="0" fontId="3" fillId="0" borderId="36" pivotButton="0" quotePrefix="0" xfId="0"/>
    <xf numFmtId="43" fontId="3" fillId="0" borderId="34" pivotButton="0" quotePrefix="0" xfId="3"/>
    <xf numFmtId="164" fontId="3" fillId="0" borderId="37" pivotButton="0" quotePrefix="0" xfId="3"/>
    <xf numFmtId="165" fontId="0" fillId="0" borderId="45" pivotButton="0" quotePrefix="0" xfId="1"/>
    <xf numFmtId="164" fontId="0" fillId="0" borderId="45" pivotButton="0" quotePrefix="0" xfId="0"/>
    <xf numFmtId="165" fontId="0" fillId="0" borderId="45" pivotButton="0" quotePrefix="0" xfId="0"/>
    <xf numFmtId="0" fontId="1" fillId="0" borderId="37" pivotButton="0" quotePrefix="0" xfId="0"/>
    <xf numFmtId="0" fontId="1" fillId="0" borderId="17" applyAlignment="1" pivotButton="0" quotePrefix="0" xfId="0">
      <alignment horizontal="center"/>
    </xf>
    <xf numFmtId="0" fontId="1" fillId="0" borderId="47" applyAlignment="1" pivotButton="0" quotePrefix="0" xfId="0">
      <alignment horizontal="center"/>
    </xf>
    <xf numFmtId="0" fontId="1" fillId="0" borderId="41" applyAlignment="1" pivotButton="0" quotePrefix="0" xfId="0">
      <alignment horizontal="right"/>
    </xf>
    <xf numFmtId="9" fontId="3" fillId="0" borderId="18" pivotButton="0" quotePrefix="0" xfId="0"/>
    <xf numFmtId="165" fontId="3" fillId="0" borderId="18" applyAlignment="1" pivotButton="0" quotePrefix="0" xfId="0">
      <alignment horizontal="center"/>
    </xf>
    <xf numFmtId="165" fontId="1" fillId="0" borderId="18" applyAlignment="1" pivotButton="0" quotePrefix="0" xfId="0">
      <alignment horizontal="center"/>
    </xf>
    <xf numFmtId="3" fontId="1" fillId="0" borderId="18" applyAlignment="1" pivotButton="0" quotePrefix="0" xfId="0">
      <alignment horizontal="right"/>
    </xf>
    <xf numFmtId="9" fontId="3" fillId="0" borderId="43" pivotButton="0" quotePrefix="0" xfId="0"/>
    <xf numFmtId="165" fontId="3" fillId="0" borderId="43" applyAlignment="1" pivotButton="0" quotePrefix="0" xfId="0">
      <alignment horizontal="center"/>
    </xf>
    <xf numFmtId="1" fontId="3" fillId="0" borderId="43" applyAlignment="1" pivotButton="0" quotePrefix="0" xfId="0">
      <alignment horizontal="center"/>
    </xf>
    <xf numFmtId="165" fontId="1" fillId="0" borderId="43" applyAlignment="1" pivotButton="0" quotePrefix="0" xfId="0">
      <alignment horizontal="center"/>
    </xf>
    <xf numFmtId="3" fontId="1" fillId="0" borderId="43" applyAlignment="1" pivotButton="0" quotePrefix="0" xfId="0">
      <alignment horizontal="right"/>
    </xf>
    <xf numFmtId="9" fontId="1" fillId="0" borderId="43" pivotButton="0" quotePrefix="0" xfId="0"/>
    <xf numFmtId="1" fontId="1" fillId="0" borderId="43" applyAlignment="1" pivotButton="0" quotePrefix="0" xfId="0">
      <alignment horizontal="center"/>
    </xf>
    <xf numFmtId="9" fontId="3" fillId="0" borderId="17" pivotButton="0" quotePrefix="0" xfId="0"/>
    <xf numFmtId="0" fontId="1" fillId="0" borderId="28" applyAlignment="1" pivotButton="0" quotePrefix="0" xfId="0">
      <alignment horizontal="center"/>
    </xf>
    <xf numFmtId="165" fontId="1" fillId="0" borderId="41" applyAlignment="1" pivotButton="0" quotePrefix="0" xfId="0">
      <alignment horizontal="center"/>
    </xf>
    <xf numFmtId="3" fontId="1" fillId="0" borderId="41" applyAlignment="1" pivotButton="0" quotePrefix="0" xfId="0">
      <alignment horizontal="right"/>
    </xf>
    <xf numFmtId="165" fontId="1" fillId="0" borderId="28" applyAlignment="1" pivotButton="0" quotePrefix="0" xfId="1">
      <alignment horizontal="center"/>
    </xf>
    <xf numFmtId="165" fontId="3" fillId="0" borderId="28" applyAlignment="1" pivotButton="0" quotePrefix="0" xfId="1">
      <alignment horizontal="center"/>
    </xf>
    <xf numFmtId="165" fontId="3" fillId="0" borderId="18" applyAlignment="1" pivotButton="0" quotePrefix="0" xfId="1">
      <alignment horizontal="center"/>
    </xf>
    <xf numFmtId="9" fontId="1" fillId="0" borderId="37" pivotButton="0" quotePrefix="0" xfId="0"/>
    <xf numFmtId="165" fontId="1" fillId="0" borderId="37" pivotButton="0" quotePrefix="0" xfId="0"/>
    <xf numFmtId="165" fontId="1" fillId="0" borderId="37" applyAlignment="1" pivotButton="0" quotePrefix="0" xfId="1">
      <alignment horizontal="center"/>
    </xf>
    <xf numFmtId="0" fontId="1" fillId="0" borderId="37" applyAlignment="1" pivotButton="0" quotePrefix="0" xfId="0">
      <alignment horizontal="center"/>
    </xf>
    <xf numFmtId="9" fontId="1" fillId="0" borderId="34" pivotButton="0" quotePrefix="0" xfId="0"/>
    <xf numFmtId="3" fontId="1" fillId="0" borderId="40" pivotButton="0" quotePrefix="0" xfId="0"/>
    <xf numFmtId="0" fontId="2" fillId="0" borderId="3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44" pivotButton="0" quotePrefix="0" xfId="0"/>
    <xf numFmtId="0" fontId="2" fillId="0" borderId="43" applyAlignment="1" pivotButton="0" quotePrefix="0" xfId="0">
      <alignment horizontal="center"/>
    </xf>
    <xf numFmtId="0" fontId="2" fillId="0" borderId="43" applyAlignment="1" pivotButton="0" quotePrefix="0" xfId="0">
      <alignment horizontal="center" wrapText="1"/>
    </xf>
    <xf numFmtId="0" fontId="2" fillId="0" borderId="37" applyAlignment="1" pivotButton="0" quotePrefix="0" xfId="0">
      <alignment horizontal="center" wrapText="1"/>
    </xf>
    <xf numFmtId="0" fontId="0" fillId="0" borderId="42" pivotButton="0" quotePrefix="0" xfId="0"/>
    <xf numFmtId="0" fontId="0" fillId="0" borderId="41" applyAlignment="1" pivotButton="0" quotePrefix="0" xfId="0">
      <alignment horizontal="center"/>
    </xf>
    <xf numFmtId="165" fontId="0" fillId="0" borderId="41" applyAlignment="1" pivotButton="0" quotePrefix="0" xfId="1">
      <alignment horizontal="center"/>
    </xf>
    <xf numFmtId="165" fontId="0" fillId="0" borderId="41" applyAlignment="1" pivotButton="0" quotePrefix="0" xfId="1">
      <alignment horizontal="right"/>
    </xf>
    <xf numFmtId="0" fontId="0" fillId="0" borderId="28" pivotButton="0" quotePrefix="0" xfId="0"/>
    <xf numFmtId="0" fontId="0" fillId="0" borderId="18" applyAlignment="1" pivotButton="0" quotePrefix="0" xfId="0">
      <alignment horizontal="center"/>
    </xf>
    <xf numFmtId="165" fontId="0" fillId="0" borderId="18" applyAlignment="1" pivotButton="0" quotePrefix="0" xfId="1">
      <alignment horizontal="center"/>
    </xf>
    <xf numFmtId="165" fontId="0" fillId="0" borderId="43" applyAlignment="1" pivotButton="0" quotePrefix="0" xfId="1">
      <alignment horizontal="center"/>
    </xf>
    <xf numFmtId="165" fontId="0" fillId="0" borderId="18" applyAlignment="1" pivotButton="0" quotePrefix="0" xfId="1">
      <alignment horizontal="right"/>
    </xf>
    <xf numFmtId="0" fontId="2" fillId="0" borderId="28" pivotButton="0" quotePrefix="0" xfId="0"/>
    <xf numFmtId="165" fontId="0" fillId="0" borderId="37" applyAlignment="1" pivotButton="0" quotePrefix="0" xfId="1">
      <alignment horizontal="center"/>
    </xf>
    <xf numFmtId="165" fontId="0" fillId="0" borderId="37" applyAlignment="1" pivotButton="0" quotePrefix="0" xfId="0">
      <alignment horizontal="center"/>
    </xf>
    <xf numFmtId="165" fontId="0" fillId="0" borderId="37" applyAlignment="1" pivotButton="0" quotePrefix="0" xfId="1">
      <alignment horizontal="right"/>
    </xf>
    <xf numFmtId="165" fontId="3" fillId="0" borderId="18" applyAlignment="1" pivotButton="0" quotePrefix="0" xfId="1">
      <alignment horizontal="right"/>
    </xf>
    <xf numFmtId="165" fontId="0" fillId="0" borderId="18" applyAlignment="1" pivotButton="0" quotePrefix="0" xfId="1">
      <alignment horizontal="center"/>
    </xf>
    <xf numFmtId="0" fontId="2" fillId="0" borderId="28" applyAlignment="1" pivotButton="0" quotePrefix="0" xfId="0">
      <alignment horizontal="right"/>
    </xf>
    <xf numFmtId="165" fontId="0" fillId="0" borderId="18" applyAlignment="1" pivotButton="0" quotePrefix="0" xfId="0">
      <alignment horizontal="center"/>
    </xf>
    <xf numFmtId="165" fontId="0" fillId="0" borderId="18" applyAlignment="1" pivotButton="0" quotePrefix="0" xfId="1">
      <alignment horizontal="right"/>
    </xf>
    <xf numFmtId="0" fontId="0" fillId="0" borderId="44" pivotButton="0" quotePrefix="0" xfId="0"/>
    <xf numFmtId="0" fontId="0" fillId="0" borderId="43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left"/>
    </xf>
    <xf numFmtId="0" fontId="0" fillId="0" borderId="45" applyAlignment="1" pivotButton="0" quotePrefix="0" xfId="0">
      <alignment horizontal="center"/>
    </xf>
    <xf numFmtId="0" fontId="0" fillId="0" borderId="48" pivotButton="0" quotePrefix="0" xfId="0"/>
    <xf numFmtId="0" fontId="2" fillId="0" borderId="36" pivotButton="0" quotePrefix="0" xfId="0"/>
    <xf numFmtId="0" fontId="2" fillId="0" borderId="37" applyAlignment="1" pivotButton="0" quotePrefix="0" xfId="0">
      <alignment wrapText="1"/>
    </xf>
    <xf numFmtId="0" fontId="2" fillId="0" borderId="46" applyAlignment="1" pivotButton="0" quotePrefix="0" xfId="0">
      <alignment wrapText="1"/>
    </xf>
    <xf numFmtId="165" fontId="2" fillId="0" borderId="28" pivotButton="0" quotePrefix="0" xfId="1"/>
    <xf numFmtId="165" fontId="2" fillId="0" borderId="41" pivotButton="0" quotePrefix="0" xfId="1"/>
    <xf numFmtId="165" fontId="0" fillId="0" borderId="28" pivotButton="0" quotePrefix="0" xfId="1"/>
    <xf numFmtId="164" fontId="0" fillId="0" borderId="18" pivotButton="0" quotePrefix="0" xfId="2"/>
    <xf numFmtId="164" fontId="0" fillId="0" borderId="17" pivotButton="0" quotePrefix="0" xfId="2"/>
    <xf numFmtId="0" fontId="5" fillId="0" borderId="18" pivotButton="0" quotePrefix="0" xfId="0"/>
    <xf numFmtId="165" fontId="5" fillId="0" borderId="18" pivotButton="0" quotePrefix="0" xfId="1"/>
    <xf numFmtId="165" fontId="2" fillId="0" borderId="18" pivotButton="0" quotePrefix="0" xfId="1"/>
    <xf numFmtId="164" fontId="2" fillId="0" borderId="18" pivotButton="0" quotePrefix="0" xfId="2"/>
    <xf numFmtId="164" fontId="2" fillId="0" borderId="17" pivotButton="0" quotePrefix="0" xfId="2"/>
    <xf numFmtId="164" fontId="0" fillId="0" borderId="37" pivotButton="0" quotePrefix="0" xfId="2"/>
    <xf numFmtId="165" fontId="0" fillId="0" borderId="44" pivotButton="0" quotePrefix="0" xfId="1"/>
    <xf numFmtId="165" fontId="0" fillId="0" borderId="43" pivotButton="0" quotePrefix="0" xfId="1"/>
    <xf numFmtId="164" fontId="0" fillId="0" borderId="43" pivotButton="0" quotePrefix="0" xfId="2"/>
    <xf numFmtId="164" fontId="0" fillId="0" borderId="48" pivotButton="0" quotePrefix="0" xfId="2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2">
      <alignment horizontal="right" wrapText="1"/>
    </xf>
    <xf numFmtId="164" fontId="0" fillId="0" borderId="0" applyAlignment="1" pivotButton="0" quotePrefix="0" xfId="2">
      <alignment horizontal="center" vertical="center" wrapText="1"/>
    </xf>
    <xf numFmtId="0" fontId="2" fillId="0" borderId="46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2" fillId="0" borderId="18" pivotButton="0" quotePrefix="0" xfId="0"/>
    <xf numFmtId="0" fontId="2" fillId="0" borderId="18" applyAlignment="1" pivotButton="0" quotePrefix="0" xfId="0">
      <alignment horizontal="right"/>
    </xf>
    <xf numFmtId="0" fontId="2" fillId="0" borderId="18" applyAlignment="1" pivotButton="0" quotePrefix="0" xfId="0">
      <alignment horizontal="left"/>
    </xf>
    <xf numFmtId="0" fontId="0" fillId="0" borderId="18" applyAlignment="1" pivotButton="0" quotePrefix="0" xfId="0">
      <alignment horizontal="left" indent="2"/>
    </xf>
    <xf numFmtId="0" fontId="0" fillId="0" borderId="43" pivotButton="0" quotePrefix="0" xfId="0"/>
    <xf numFmtId="165" fontId="0" fillId="0" borderId="43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1" fillId="0" borderId="42" pivotButton="0" quotePrefix="0" xfId="0"/>
    <xf numFmtId="0" fontId="0" fillId="0" borderId="47" pivotButton="0" quotePrefix="0" xfId="0"/>
    <xf numFmtId="0" fontId="3" fillId="0" borderId="40" pivotButton="0" quotePrefix="0" xfId="0"/>
    <xf numFmtId="0" fontId="3" fillId="0" borderId="41" pivotButton="0" quotePrefix="0" xfId="0"/>
    <xf numFmtId="0" fontId="0" fillId="0" borderId="41" applyAlignment="1" pivotButton="0" quotePrefix="0" xfId="0">
      <alignment wrapText="1"/>
    </xf>
    <xf numFmtId="0" fontId="3" fillId="0" borderId="45" pivotButton="0" quotePrefix="0" xfId="0"/>
    <xf numFmtId="0" fontId="3" fillId="0" borderId="43" pivotButton="0" quotePrefix="0" xfId="0"/>
    <xf numFmtId="0" fontId="0" fillId="0" borderId="45" pivotButton="0" quotePrefix="0" xfId="0"/>
    <xf numFmtId="164" fontId="3" fillId="0" borderId="42" pivotButton="0" quotePrefix="0" xfId="1"/>
    <xf numFmtId="164" fontId="3" fillId="0" borderId="28" applyAlignment="1" pivotButton="0" quotePrefix="0" xfId="1">
      <alignment horizontal="center"/>
    </xf>
    <xf numFmtId="164" fontId="0" fillId="0" borderId="28" pivotButton="0" quotePrefix="0" xfId="1"/>
    <xf numFmtId="164" fontId="0" fillId="0" borderId="41" pivotButton="0" quotePrefix="0" xfId="1"/>
    <xf numFmtId="164" fontId="0" fillId="0" borderId="18" pivotButton="0" quotePrefix="0" xfId="1"/>
    <xf numFmtId="0" fontId="3" fillId="0" borderId="44" pivotButton="0" quotePrefix="0" xfId="0"/>
    <xf numFmtId="164" fontId="3" fillId="0" borderId="44" applyAlignment="1" pivotButton="0" quotePrefix="0" xfId="1">
      <alignment horizontal="center"/>
    </xf>
    <xf numFmtId="164" fontId="0" fillId="0" borderId="44" pivotButton="0" quotePrefix="0" xfId="1"/>
    <xf numFmtId="164" fontId="0" fillId="0" borderId="43" pivotButton="0" quotePrefix="0" xfId="1"/>
    <xf numFmtId="164" fontId="3" fillId="0" borderId="0" applyAlignment="1" pivotButton="0" quotePrefix="0" xfId="1">
      <alignment horizontal="center"/>
    </xf>
    <xf numFmtId="164" fontId="0" fillId="0" borderId="0" pivotButton="0" quotePrefix="0" xfId="1"/>
    <xf numFmtId="0" fontId="6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43" fontId="0" fillId="0" borderId="0" pivotButton="0" quotePrefix="0" xfId="0"/>
    <xf numFmtId="0" fontId="7" fillId="0" borderId="0" pivotButton="0" quotePrefix="0" xfId="0"/>
    <xf numFmtId="165" fontId="7" fillId="0" borderId="0" pivotButton="0" quotePrefix="0" xfId="1"/>
    <xf numFmtId="0" fontId="7" fillId="0" borderId="41" applyAlignment="1" pivotButton="0" quotePrefix="0" xfId="0">
      <alignment horizontal="center"/>
    </xf>
    <xf numFmtId="0" fontId="7" fillId="0" borderId="34" pivotButton="0" quotePrefix="0" xfId="0"/>
    <xf numFmtId="165" fontId="7" fillId="0" borderId="36" pivotButton="0" quotePrefix="0" xfId="1"/>
    <xf numFmtId="165" fontId="7" fillId="0" borderId="46" pivotButton="0" quotePrefix="0" xfId="1"/>
    <xf numFmtId="0" fontId="7" fillId="0" borderId="43" applyAlignment="1" pivotButton="0" quotePrefix="0" xfId="0">
      <alignment horizontal="center"/>
    </xf>
    <xf numFmtId="0" fontId="7" fillId="0" borderId="46" pivotButton="0" quotePrefix="0" xfId="0"/>
    <xf numFmtId="0" fontId="7" fillId="0" borderId="41" pivotButton="0" quotePrefix="0" xfId="0"/>
    <xf numFmtId="165" fontId="7" fillId="0" borderId="42" pivotButton="0" quotePrefix="0" xfId="1"/>
    <xf numFmtId="165" fontId="7" fillId="0" borderId="41" pivotButton="0" quotePrefix="0" xfId="1"/>
    <xf numFmtId="0" fontId="7" fillId="0" borderId="40" pivotButton="0" quotePrefix="0" xfId="0"/>
    <xf numFmtId="0" fontId="7" fillId="0" borderId="42" pivotButton="0" quotePrefix="0" xfId="0"/>
    <xf numFmtId="0" fontId="8" fillId="0" borderId="18" pivotButton="0" quotePrefix="0" xfId="0"/>
    <xf numFmtId="0" fontId="7" fillId="0" borderId="18" pivotButton="0" quotePrefix="0" xfId="0"/>
    <xf numFmtId="165" fontId="7" fillId="0" borderId="28" pivotButton="0" quotePrefix="0" xfId="1"/>
    <xf numFmtId="165" fontId="7" fillId="0" borderId="18" pivotButton="0" quotePrefix="0" xfId="1"/>
    <xf numFmtId="0" fontId="7" fillId="0" borderId="28" pivotButton="0" quotePrefix="0" xfId="0"/>
    <xf numFmtId="165" fontId="8" fillId="0" borderId="28" pivotButton="0" quotePrefix="0" xfId="1"/>
    <xf numFmtId="165" fontId="8" fillId="0" borderId="44" pivotButton="0" quotePrefix="0" xfId="1"/>
    <xf numFmtId="165" fontId="8" fillId="0" borderId="49" pivotButton="0" quotePrefix="0" xfId="1"/>
    <xf numFmtId="0" fontId="8" fillId="0" borderId="0" pivotButton="0" quotePrefix="0" xfId="0"/>
    <xf numFmtId="165" fontId="8" fillId="0" borderId="50" pivotButton="0" quotePrefix="0" xfId="1"/>
    <xf numFmtId="165" fontId="8" fillId="0" borderId="18" pivotButton="0" quotePrefix="0" xfId="1"/>
    <xf numFmtId="165" fontId="8" fillId="0" borderId="43" pivotButton="0" quotePrefix="0" xfId="1"/>
    <xf numFmtId="0" fontId="8" fillId="0" borderId="43" pivotButton="0" quotePrefix="0" xfId="0"/>
    <xf numFmtId="165" fontId="7" fillId="0" borderId="44" pivotButton="0" quotePrefix="0" xfId="1"/>
    <xf numFmtId="165" fontId="7" fillId="0" borderId="43" pivotButton="0" quotePrefix="0" xfId="1"/>
    <xf numFmtId="0" fontId="8" fillId="0" borderId="45" pivotButton="0" quotePrefix="0" xfId="0"/>
    <xf numFmtId="165" fontId="8" fillId="0" borderId="45" pivotButton="0" quotePrefix="0" xfId="1"/>
    <xf numFmtId="165" fontId="8" fillId="0" borderId="48" pivotButton="0" quotePrefix="0" xfId="1"/>
    <xf numFmtId="165" fontId="7" fillId="0" borderId="40" pivotButton="0" quotePrefix="0" xfId="1"/>
    <xf numFmtId="165" fontId="7" fillId="0" borderId="47" pivotButton="0" quotePrefix="0" xfId="1"/>
    <xf numFmtId="0" fontId="0" fillId="0" borderId="37" applyAlignment="1" pivotButton="0" quotePrefix="0" xfId="0">
      <alignment wrapText="1"/>
    </xf>
    <xf numFmtId="0" fontId="0" fillId="0" borderId="34" applyAlignment="1" pivotButton="0" quotePrefix="0" xfId="0">
      <alignment wrapText="1"/>
    </xf>
    <xf numFmtId="0" fontId="0" fillId="0" borderId="46" applyAlignment="1" pivotButton="0" quotePrefix="0" xfId="0">
      <alignment wrapText="1"/>
    </xf>
    <xf numFmtId="0" fontId="8" fillId="0" borderId="28" pivotButton="0" quotePrefix="0" xfId="0"/>
    <xf numFmtId="49" fontId="5" fillId="0" borderId="42" pivotButton="0" quotePrefix="0" xfId="0"/>
    <xf numFmtId="165" fontId="8" fillId="0" borderId="42" applyAlignment="1" pivotButton="0" quotePrefix="0" xfId="1">
      <alignment horizontal="right"/>
    </xf>
    <xf numFmtId="166" fontId="5" fillId="0" borderId="42" pivotButton="0" quotePrefix="0" xfId="1"/>
    <xf numFmtId="165" fontId="8" fillId="0" borderId="41" pivotButton="0" quotePrefix="0" xfId="1"/>
    <xf numFmtId="167" fontId="8" fillId="0" borderId="40" applyAlignment="1" pivotButton="0" quotePrefix="0" xfId="1">
      <alignment horizontal="right"/>
    </xf>
    <xf numFmtId="165" fontId="8" fillId="0" borderId="42" pivotButton="0" quotePrefix="0" xfId="1"/>
    <xf numFmtId="49" fontId="5" fillId="0" borderId="28" pivotButton="0" quotePrefix="0" xfId="0"/>
    <xf numFmtId="166" fontId="5" fillId="0" borderId="28" pivotButton="0" quotePrefix="0" xfId="1"/>
    <xf numFmtId="167" fontId="8" fillId="0" borderId="0" applyAlignment="1" pivotButton="0" quotePrefix="0" xfId="1">
      <alignment horizontal="right"/>
    </xf>
    <xf numFmtId="165" fontId="8" fillId="0" borderId="36" applyAlignment="1" pivotButton="0" quotePrefix="0" xfId="1">
      <alignment horizontal="right"/>
    </xf>
    <xf numFmtId="49" fontId="5" fillId="0" borderId="44" pivotButton="0" quotePrefix="0" xfId="0"/>
    <xf numFmtId="165" fontId="5" fillId="0" borderId="44" pivotButton="0" quotePrefix="0" xfId="1"/>
    <xf numFmtId="165" fontId="5" fillId="0" borderId="43" pivotButton="0" quotePrefix="0" xfId="1"/>
    <xf numFmtId="167" fontId="8" fillId="0" borderId="45" applyAlignment="1" pivotButton="0" quotePrefix="0" xfId="1">
      <alignment horizontal="right"/>
    </xf>
    <xf numFmtId="49" fontId="5" fillId="0" borderId="0" pivotButton="0" quotePrefix="0" xfId="0"/>
    <xf numFmtId="165" fontId="5" fillId="0" borderId="0" pivotButton="0" quotePrefix="0" xfId="1"/>
    <xf numFmtId="165" fontId="5" fillId="0" borderId="28" pivotButton="0" quotePrefix="0" xfId="1"/>
    <xf numFmtId="165" fontId="5" fillId="0" borderId="17" pivotButton="0" quotePrefix="0" xfId="1"/>
    <xf numFmtId="49" fontId="5" fillId="0" borderId="45" pivotButton="0" quotePrefix="0" xfId="0"/>
    <xf numFmtId="165" fontId="5" fillId="0" borderId="45" pivotButton="0" quotePrefix="0" xfId="1"/>
    <xf numFmtId="165" fontId="5" fillId="0" borderId="48" pivotButton="0" quotePrefix="0" xfId="1"/>
    <xf numFmtId="165" fontId="8" fillId="0" borderId="47" pivotButton="0" quotePrefix="0" xfId="1"/>
    <xf numFmtId="165" fontId="5" fillId="0" borderId="28" applyAlignment="1" pivotButton="0" quotePrefix="0" xfId="1">
      <alignment horizontal="right"/>
    </xf>
    <xf numFmtId="165" fontId="8" fillId="0" borderId="17" applyAlignment="1" pivotButton="0" quotePrefix="0" xfId="1">
      <alignment horizontal="right" vertical="center"/>
    </xf>
    <xf numFmtId="165" fontId="5" fillId="0" borderId="0" pivotButton="0" quotePrefix="0" xfId="1"/>
    <xf numFmtId="165" fontId="8" fillId="0" borderId="0" pivotButton="0" quotePrefix="0" xfId="1"/>
    <xf numFmtId="49" fontId="9" fillId="0" borderId="0" pivotButton="0" quotePrefix="0" xfId="0"/>
    <xf numFmtId="165" fontId="9" fillId="0" borderId="0" pivotButton="0" quotePrefix="0" xfId="1"/>
    <xf numFmtId="49" fontId="10" fillId="0" borderId="0" pivotButton="0" quotePrefix="0" xfId="0"/>
    <xf numFmtId="165" fontId="10" fillId="0" borderId="0" pivotButton="0" quotePrefix="0" xfId="1"/>
    <xf numFmtId="49" fontId="10" fillId="0" borderId="36" pivotButton="0" quotePrefix="0" xfId="0"/>
    <xf numFmtId="2" fontId="0" fillId="0" borderId="40" pivotButton="0" quotePrefix="0" xfId="0"/>
    <xf numFmtId="2" fontId="0" fillId="0" borderId="47" pivotButton="0" quotePrefix="0" xfId="0"/>
    <xf numFmtId="2" fontId="0" fillId="0" borderId="0" pivotButton="0" quotePrefix="0" xfId="0"/>
    <xf numFmtId="2" fontId="0" fillId="0" borderId="17" pivotButton="0" quotePrefix="0" xfId="0"/>
    <xf numFmtId="2" fontId="0" fillId="0" borderId="45" pivotButton="0" quotePrefix="0" xfId="0"/>
    <xf numFmtId="2" fontId="0" fillId="0" borderId="48" pivotButton="0" quotePrefix="0" xfId="0"/>
    <xf numFmtId="49" fontId="11" fillId="0" borderId="0" pivotButton="0" quotePrefix="0" xfId="0"/>
    <xf numFmtId="165" fontId="11" fillId="0" borderId="0" pivotButton="0" quotePrefix="0" xfId="1"/>
    <xf numFmtId="165" fontId="11" fillId="0" borderId="28" pivotButton="0" quotePrefix="0" xfId="1"/>
    <xf numFmtId="165" fontId="11" fillId="0" borderId="17" pivotButton="0" quotePrefix="0" xfId="1"/>
    <xf numFmtId="49" fontId="11" fillId="0" borderId="41" pivotButton="0" quotePrefix="0" xfId="0"/>
    <xf numFmtId="165" fontId="11" fillId="0" borderId="42" pivotButton="0" quotePrefix="0" xfId="1"/>
    <xf numFmtId="165" fontId="11" fillId="0" borderId="41" pivotButton="0" quotePrefix="0" xfId="1"/>
    <xf numFmtId="49" fontId="11" fillId="0" borderId="40" pivotButton="0" quotePrefix="0" xfId="0"/>
    <xf numFmtId="49" fontId="11" fillId="0" borderId="42" pivotButton="0" quotePrefix="0" xfId="0"/>
    <xf numFmtId="49" fontId="5" fillId="0" borderId="18" pivotButton="0" quotePrefix="0" xfId="0"/>
    <xf numFmtId="165" fontId="11" fillId="0" borderId="43" pivotButton="0" quotePrefix="0" xfId="1"/>
    <xf numFmtId="0" fontId="8" fillId="0" borderId="41" pivotButton="0" quotePrefix="0" xfId="0"/>
    <xf numFmtId="0" fontId="8" fillId="0" borderId="40" pivotButton="0" quotePrefix="0" xfId="0"/>
    <xf numFmtId="0" fontId="8" fillId="0" borderId="42" pivotButton="0" quotePrefix="0" xfId="0"/>
    <xf numFmtId="49" fontId="11" fillId="0" borderId="18" pivotButton="0" quotePrefix="0" xfId="0"/>
    <xf numFmtId="165" fontId="11" fillId="0" borderId="18" pivotButton="0" quotePrefix="0" xfId="1"/>
    <xf numFmtId="49" fontId="11" fillId="0" borderId="28" pivotButton="0" quotePrefix="0" xfId="0"/>
    <xf numFmtId="165" fontId="8" fillId="0" borderId="28" pivotButton="0" quotePrefix="0" xfId="1"/>
    <xf numFmtId="165" fontId="8" fillId="0" borderId="17" pivotButton="0" quotePrefix="0" xfId="1"/>
    <xf numFmtId="165" fontId="7" fillId="0" borderId="37" pivotButton="0" quotePrefix="0" xfId="1"/>
    <xf numFmtId="165" fontId="8" fillId="0" borderId="0" pivotButton="0" quotePrefix="0" xfId="0"/>
    <xf numFmtId="0" fontId="7" fillId="0" borderId="45" pivotButton="0" quotePrefix="0" xfId="0"/>
    <xf numFmtId="165" fontId="7" fillId="0" borderId="45" pivotButton="0" quotePrefix="0" xfId="1"/>
    <xf numFmtId="165" fontId="7" fillId="0" borderId="48" pivotButton="0" quotePrefix="0" xfId="1"/>
    <xf numFmtId="0" fontId="8" fillId="0" borderId="47" applyAlignment="1" pivotButton="0" quotePrefix="0" xfId="0">
      <alignment horizontal="center"/>
    </xf>
    <xf numFmtId="165" fontId="8" fillId="0" borderId="0" applyAlignment="1" pivotButton="0" quotePrefix="0" xfId="1">
      <alignment horizontal="center"/>
    </xf>
    <xf numFmtId="0" fontId="8" fillId="0" borderId="48" applyAlignment="1" pivotButton="0" quotePrefix="0" xfId="0">
      <alignment horizontal="center"/>
    </xf>
    <xf numFmtId="165" fontId="8" fillId="0" borderId="44" applyAlignment="1" pivotButton="0" quotePrefix="0" xfId="1">
      <alignment horizontal="center"/>
    </xf>
    <xf numFmtId="0" fontId="7" fillId="0" borderId="17" pivotButton="0" quotePrefix="0" xfId="0"/>
    <xf numFmtId="165" fontId="8" fillId="0" borderId="46" pivotButton="0" quotePrefix="0" xfId="1"/>
    <xf numFmtId="0" fontId="8" fillId="0" borderId="17" pivotButton="0" quotePrefix="0" xfId="0"/>
    <xf numFmtId="0" fontId="8" fillId="0" borderId="48" pivotButton="0" quotePrefix="0" xfId="0"/>
    <xf numFmtId="0" fontId="8" fillId="0" borderId="37" pivotButton="0" quotePrefix="0" xfId="0"/>
    <xf numFmtId="0" fontId="8" fillId="0" borderId="47" pivotButton="0" quotePrefix="0" xfId="0"/>
    <xf numFmtId="165" fontId="12" fillId="0" borderId="28" pivotButton="0" quotePrefix="0" xfId="1"/>
    <xf numFmtId="165" fontId="13" fillId="0" borderId="18" pivotButton="0" quotePrefix="0" xfId="1"/>
    <xf numFmtId="165" fontId="8" fillId="0" borderId="18" pivotButton="0" quotePrefix="0" xfId="1"/>
    <xf numFmtId="165" fontId="11" fillId="0" borderId="36" pivotButton="0" quotePrefix="0" xfId="1"/>
    <xf numFmtId="165" fontId="8" fillId="0" borderId="36" pivotButton="0" quotePrefix="0" xfId="1"/>
    <xf numFmtId="0" fontId="7" fillId="0" borderId="36" pivotButton="0" quotePrefix="0" xfId="0"/>
    <xf numFmtId="0" fontId="8" fillId="0" borderId="44" pivotButton="0" quotePrefix="0" xfId="0"/>
    <xf numFmtId="165" fontId="5" fillId="0" borderId="37" pivotButton="0" quotePrefix="0" xfId="1"/>
    <xf numFmtId="0" fontId="7" fillId="0" borderId="47" pivotButton="0" quotePrefix="0" xfId="0"/>
    <xf numFmtId="49" fontId="5" fillId="0" borderId="17" pivotButton="0" quotePrefix="0" xfId="0"/>
    <xf numFmtId="49" fontId="5" fillId="0" borderId="48" pivotButton="0" quotePrefix="0" xfId="0"/>
    <xf numFmtId="165" fontId="8" fillId="0" borderId="18" applyAlignment="1" pivotButton="0" quotePrefix="0" xfId="1">
      <alignment horizontal="right" vertical="center"/>
    </xf>
    <xf numFmtId="49" fontId="11" fillId="0" borderId="17" pivotButton="0" quotePrefix="0" xfId="0"/>
    <xf numFmtId="166" fontId="5" fillId="0" borderId="28" applyAlignment="1" pivotButton="0" quotePrefix="0" xfId="1">
      <alignment horizontal="right"/>
    </xf>
    <xf numFmtId="3" fontId="5" fillId="0" borderId="18" applyAlignment="1" pivotButton="0" quotePrefix="0" xfId="1">
      <alignment horizontal="right"/>
    </xf>
    <xf numFmtId="165" fontId="8" fillId="0" borderId="42" pivotButton="0" quotePrefix="0" xfId="1"/>
    <xf numFmtId="165" fontId="8" fillId="0" borderId="41" pivotButton="0" quotePrefix="0" xfId="1"/>
    <xf numFmtId="165" fontId="11" fillId="0" borderId="28" pivotButton="0" quotePrefix="0" xfId="1"/>
    <xf numFmtId="165" fontId="11" fillId="0" borderId="18" pivotButton="0" quotePrefix="0" xfId="1"/>
    <xf numFmtId="165" fontId="8" fillId="0" borderId="28" pivotButton="0" quotePrefix="0" xfId="1"/>
    <xf numFmtId="165" fontId="8" fillId="0" borderId="18" pivotButton="0" quotePrefix="0" xfId="1"/>
    <xf numFmtId="165" fontId="2" fillId="0" borderId="0" pivotButton="0" quotePrefix="0" xfId="1"/>
    <xf numFmtId="165" fontId="5" fillId="0" borderId="28" pivotButton="0" quotePrefix="0" xfId="1"/>
    <xf numFmtId="165" fontId="5" fillId="0" borderId="18" pivotButton="0" quotePrefix="0" xfId="1"/>
    <xf numFmtId="165" fontId="8" fillId="0" borderId="43" pivotButton="0" quotePrefix="0" xfId="1"/>
    <xf numFmtId="165" fontId="5" fillId="0" borderId="37" pivotButton="0" quotePrefix="0" xfId="1"/>
    <xf numFmtId="165" fontId="7" fillId="0" borderId="44" pivotButton="0" quotePrefix="0" xfId="1"/>
    <xf numFmtId="165" fontId="7" fillId="0" borderId="48" pivotButton="0" quotePrefix="0" xfId="1"/>
    <xf numFmtId="0" fontId="8" fillId="0" borderId="41" applyAlignment="1" pivotButton="0" quotePrefix="0" xfId="0">
      <alignment horizontal="center"/>
    </xf>
    <xf numFmtId="165" fontId="8" fillId="0" borderId="17" applyAlignment="1" pivotButton="0" quotePrefix="0" xfId="1">
      <alignment horizontal="center"/>
    </xf>
    <xf numFmtId="0" fontId="8" fillId="0" borderId="43" applyAlignment="1" pivotButton="0" quotePrefix="0" xfId="0">
      <alignment horizontal="center"/>
    </xf>
    <xf numFmtId="165" fontId="8" fillId="0" borderId="43" applyAlignment="1" pivotButton="0" quotePrefix="0" xfId="1">
      <alignment horizontal="center"/>
    </xf>
    <xf numFmtId="165" fontId="7" fillId="0" borderId="18" pivotButton="0" quotePrefix="0" xfId="1"/>
    <xf numFmtId="49" fontId="8" fillId="0" borderId="18" pivotButton="0" quotePrefix="0" xfId="0"/>
    <xf numFmtId="49" fontId="8" fillId="0" borderId="17" pivotButton="0" quotePrefix="0" xfId="0"/>
    <xf numFmtId="49" fontId="8" fillId="0" borderId="28" pivotButton="0" quotePrefix="0" xfId="0"/>
    <xf numFmtId="165" fontId="8" fillId="0" borderId="37" pivotButton="0" quotePrefix="0" xfId="1"/>
    <xf numFmtId="165" fontId="8" fillId="0" borderId="37" pivotButton="0" quotePrefix="0" xfId="1"/>
    <xf numFmtId="165" fontId="7" fillId="0" borderId="0" pivotButton="0" quotePrefix="0" xfId="1"/>
    <xf numFmtId="165" fontId="8" fillId="0" borderId="28" pivotButton="0" quotePrefix="0" xfId="0"/>
    <xf numFmtId="0" fontId="13" fillId="0" borderId="18" pivotButton="0" quotePrefix="0" xfId="0"/>
    <xf numFmtId="0" fontId="12" fillId="0" borderId="18" pivotButton="0" quotePrefix="0" xfId="0"/>
    <xf numFmtId="165" fontId="8" fillId="0" borderId="0" pivotButton="0" quotePrefix="0" xfId="1"/>
    <xf numFmtId="0" fontId="8" fillId="0" borderId="36" pivotButton="0" quotePrefix="0" xfId="0"/>
    <xf numFmtId="0" fontId="8" fillId="0" borderId="46" pivotButton="0" quotePrefix="0" xfId="0"/>
    <xf numFmtId="165" fontId="11" fillId="0" borderId="37" pivotButton="0" quotePrefix="0" xfId="1"/>
    <xf numFmtId="0" fontId="5" fillId="0" borderId="17" pivotButton="0" quotePrefix="0" xfId="0"/>
    <xf numFmtId="165" fontId="5" fillId="2" borderId="37" pivotButton="0" quotePrefix="0" xfId="1"/>
    <xf numFmtId="165" fontId="7" fillId="0" borderId="41" pivotButton="0" quotePrefix="0" xfId="1"/>
    <xf numFmtId="166" fontId="8" fillId="0" borderId="17" pivotButton="0" quotePrefix="0" xfId="1"/>
    <xf numFmtId="165" fontId="7" fillId="0" borderId="28" pivotButton="0" quotePrefix="0" xfId="1"/>
    <xf numFmtId="165" fontId="5" fillId="0" borderId="18" pivotButton="0" quotePrefix="0" xfId="1"/>
    <xf numFmtId="165" fontId="11" fillId="0" borderId="41" pivotButton="0" quotePrefix="0" xfId="1"/>
    <xf numFmtId="165" fontId="8" fillId="0" borderId="37" pivotButton="0" quotePrefix="0" xfId="1"/>
    <xf numFmtId="165" fontId="8" fillId="0" borderId="18" pivotButton="0" quotePrefix="0" xfId="1"/>
    <xf numFmtId="49" fontId="14" fillId="0" borderId="0" applyAlignment="1" pivotButton="0" quotePrefix="0" xfId="0">
      <alignment vertical="top"/>
    </xf>
    <xf numFmtId="165" fontId="15" fillId="0" borderId="0" applyAlignment="1" pivotButton="0" quotePrefix="0" xfId="1">
      <alignment horizontal="right" vertical="top"/>
    </xf>
    <xf numFmtId="49" fontId="0" fillId="0" borderId="0" pivotButton="0" quotePrefix="0" xfId="0"/>
    <xf numFmtId="168" fontId="15" fillId="0" borderId="0" applyAlignment="1" pivotButton="0" quotePrefix="0" xfId="0">
      <alignment horizontal="right" vertical="top"/>
    </xf>
    <xf numFmtId="49" fontId="15" fillId="0" borderId="0" applyAlignment="1" pivotButton="0" quotePrefix="0" xfId="0">
      <alignment vertical="top"/>
    </xf>
    <xf numFmtId="49" fontId="14" fillId="0" borderId="0" applyAlignment="1" pivotButton="0" quotePrefix="0" xfId="0">
      <alignment horizontal="left" vertical="top" indent="3"/>
    </xf>
    <xf numFmtId="165" fontId="4" fillId="0" borderId="0" pivotButton="0" quotePrefix="0" xfId="1"/>
    <xf numFmtId="0" fontId="3" fillId="0" borderId="34" pivotButton="0" quotePrefix="0" xfId="0"/>
    <xf numFmtId="0" fontId="3" fillId="0" borderId="46" pivotButton="0" quotePrefix="0" xfId="0"/>
    <xf numFmtId="0" fontId="1" fillId="0" borderId="48" pivotButton="0" quotePrefix="0" xfId="0"/>
    <xf numFmtId="0" fontId="1" fillId="0" borderId="45" pivotButton="0" quotePrefix="0" xfId="0"/>
    <xf numFmtId="0" fontId="3" fillId="0" borderId="37" pivotButton="0" quotePrefix="0" xfId="0"/>
    <xf numFmtId="164" fontId="0" fillId="0" borderId="0" pivotButton="0" quotePrefix="0" xfId="2"/>
    <xf numFmtId="164" fontId="3" fillId="0" borderId="28" pivotButton="0" quotePrefix="0" xfId="2"/>
    <xf numFmtId="164" fontId="3" fillId="0" borderId="18" pivotButton="0" quotePrefix="0" xfId="2"/>
    <xf numFmtId="164" fontId="3" fillId="0" borderId="0" pivotButton="0" quotePrefix="0" xfId="2"/>
    <xf numFmtId="164" fontId="3" fillId="0" borderId="37" pivotButton="0" quotePrefix="0" xfId="2"/>
    <xf numFmtId="0" fontId="3" fillId="0" borderId="17" pivotButton="0" quotePrefix="0" xfId="0"/>
    <xf numFmtId="165" fontId="3" fillId="0" borderId="18" pivotButton="0" quotePrefix="0" xfId="2"/>
    <xf numFmtId="165" fontId="3" fillId="0" borderId="0" pivotButton="0" quotePrefix="0" xfId="2"/>
    <xf numFmtId="165" fontId="3" fillId="0" borderId="28" pivotButton="0" quotePrefix="0" xfId="2"/>
    <xf numFmtId="0" fontId="3" fillId="0" borderId="18" pivotButton="0" quotePrefix="0" xfId="0"/>
    <xf numFmtId="165" fontId="3" fillId="0" borderId="0" pivotButton="0" quotePrefix="0" xfId="2"/>
    <xf numFmtId="165" fontId="3" fillId="0" borderId="0" pivotButton="0" quotePrefix="0" xfId="2"/>
    <xf numFmtId="165" fontId="3" fillId="0" borderId="37" pivotButton="0" quotePrefix="0" xfId="0"/>
    <xf numFmtId="165" fontId="3" fillId="0" borderId="34" pivotButton="0" quotePrefix="0" xfId="0"/>
    <xf numFmtId="0" fontId="0" fillId="0" borderId="46" pivotButton="0" quotePrefix="0" xfId="0"/>
    <xf numFmtId="0" fontId="2" fillId="0" borderId="42" pivotButton="0" quotePrefix="0" xfId="0"/>
    <xf numFmtId="0" fontId="0" fillId="0" borderId="37" pivotButton="0" quotePrefix="0" xfId="0"/>
    <xf numFmtId="165" fontId="0" fillId="0" borderId="40" pivotButton="0" quotePrefix="0" xfId="2"/>
    <xf numFmtId="165" fontId="0" fillId="0" borderId="41" pivotButton="0" quotePrefix="0" xfId="2"/>
    <xf numFmtId="43" fontId="0" fillId="0" borderId="0" pivotButton="0" quotePrefix="0" xfId="2"/>
    <xf numFmtId="43" fontId="0" fillId="0" borderId="18" pivotButton="0" quotePrefix="0" xfId="2"/>
    <xf numFmtId="43" fontId="0" fillId="0" borderId="28" pivotButton="0" quotePrefix="0" xfId="2"/>
    <xf numFmtId="0" fontId="0" fillId="0" borderId="28" applyAlignment="1" pivotButton="0" quotePrefix="0" xfId="0">
      <alignment horizontal="left" wrapText="1"/>
    </xf>
    <xf numFmtId="43" fontId="0" fillId="0" borderId="0" pivotButton="0" quotePrefix="0" xfId="2"/>
    <xf numFmtId="43" fontId="0" fillId="0" borderId="28" pivotButton="0" quotePrefix="0" xfId="2"/>
    <xf numFmtId="43" fontId="0" fillId="0" borderId="17" pivotButton="0" quotePrefix="0" xfId="2"/>
    <xf numFmtId="0" fontId="0" fillId="0" borderId="3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34" applyAlignment="1" pivotButton="0" quotePrefix="0" xfId="0">
      <alignment wrapText="1"/>
    </xf>
    <xf numFmtId="0" fontId="2" fillId="0" borderId="41" pivotButton="0" quotePrefix="0" xfId="0"/>
    <xf numFmtId="166" fontId="0" fillId="0" borderId="37" pivotButton="0" quotePrefix="0" xfId="1"/>
    <xf numFmtId="0" fontId="3" fillId="0" borderId="37" applyAlignment="1" pivotButton="0" quotePrefix="0" xfId="0">
      <alignment wrapText="1"/>
    </xf>
    <xf numFmtId="166" fontId="3" fillId="0" borderId="37" applyAlignment="1" pivotButton="0" quotePrefix="0" xfId="1">
      <alignment horizontal="center"/>
    </xf>
    <xf numFmtId="166" fontId="3" fillId="0" borderId="37" pivotButton="0" quotePrefix="0" xfId="1"/>
    <xf numFmtId="0" fontId="0" fillId="0" borderId="37" applyAlignment="1" pivotButton="0" quotePrefix="0" xfId="0">
      <alignment horizontal="center" wrapText="1"/>
    </xf>
    <xf numFmtId="166" fontId="0" fillId="0" borderId="37" applyAlignment="1" pivotButton="0" quotePrefix="0" xfId="1">
      <alignment wrapText="1"/>
    </xf>
    <xf numFmtId="166" fontId="0" fillId="0" borderId="37" applyAlignment="1" pivotButton="0" quotePrefix="0" xfId="1">
      <alignment horizontal="center"/>
    </xf>
    <xf numFmtId="0" fontId="0" fillId="0" borderId="37" applyAlignment="1" pivotButton="0" quotePrefix="0" xfId="0">
      <alignment horizontal="center"/>
    </xf>
    <xf numFmtId="0" fontId="0" fillId="0" borderId="42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4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9" fontId="18" fillId="0" borderId="40" applyAlignment="1" pivotButton="0" quotePrefix="0" xfId="0">
      <alignment horizontal="left" vertical="top" indent="3"/>
    </xf>
    <xf numFmtId="49" fontId="18" fillId="0" borderId="28" applyAlignment="1" pivotButton="0" quotePrefix="0" xfId="0">
      <alignment horizontal="left" vertical="top" indent="3"/>
    </xf>
    <xf numFmtId="49" fontId="18" fillId="0" borderId="44" applyAlignment="1" pivotButton="0" quotePrefix="0" xfId="0">
      <alignment horizontal="left" vertical="top" indent="3"/>
    </xf>
    <xf numFmtId="49" fontId="15" fillId="0" borderId="37" applyAlignment="1" pivotButton="0" quotePrefix="0" xfId="0">
      <alignment horizontal="center" vertical="top"/>
    </xf>
    <xf numFmtId="49" fontId="18" fillId="0" borderId="0" applyAlignment="1" pivotButton="0" quotePrefix="0" xfId="0">
      <alignment vertical="top"/>
    </xf>
    <xf numFmtId="169" fontId="18" fillId="0" borderId="34" applyAlignment="1" pivotButton="0" quotePrefix="0" xfId="0">
      <alignment horizontal="right" vertical="top"/>
    </xf>
    <xf numFmtId="168" fontId="18" fillId="0" borderId="34" applyAlignment="1" pivotButton="0" quotePrefix="0" xfId="0">
      <alignment horizontal="right" vertical="top"/>
    </xf>
    <xf numFmtId="49" fontId="15" fillId="0" borderId="0" applyAlignment="1" pivotButton="0" quotePrefix="0" xfId="0">
      <alignment horizontal="left" vertical="top" indent="3"/>
    </xf>
    <xf numFmtId="169" fontId="15" fillId="0" borderId="0" applyAlignment="1" pivotButton="0" quotePrefix="0" xfId="0">
      <alignment horizontal="right" vertical="top"/>
    </xf>
    <xf numFmtId="168" fontId="19" fillId="0" borderId="0" applyAlignment="1" pivotButton="0" quotePrefix="0" xfId="0">
      <alignment horizontal="right" vertical="top"/>
    </xf>
    <xf numFmtId="169" fontId="18" fillId="0" borderId="45" applyAlignment="1" pivotButton="0" quotePrefix="0" xfId="0">
      <alignment horizontal="right" vertical="top"/>
    </xf>
    <xf numFmtId="168" fontId="18" fillId="0" borderId="45" applyAlignment="1" pivotButton="0" quotePrefix="0" xfId="0">
      <alignment horizontal="right" vertical="top"/>
    </xf>
    <xf numFmtId="49" fontId="14" fillId="0" borderId="0" applyAlignment="1" pivotButton="0" quotePrefix="0" xfId="0">
      <alignment horizontal="left" vertical="top" indent="2"/>
    </xf>
    <xf numFmtId="168" fontId="14" fillId="0" borderId="0" applyAlignment="1" pivotButton="0" quotePrefix="0" xfId="0">
      <alignment horizontal="right" vertical="top"/>
    </xf>
    <xf numFmtId="169" fontId="14" fillId="0" borderId="0" applyAlignment="1" pivotButton="0" quotePrefix="0" xfId="0">
      <alignment horizontal="right" vertical="top"/>
    </xf>
    <xf numFmtId="168" fontId="20" fillId="0" borderId="0" applyAlignment="1" pivotButton="0" quotePrefix="0" xfId="0">
      <alignment horizontal="right" vertical="top"/>
    </xf>
    <xf numFmtId="49" fontId="18" fillId="0" borderId="34" applyAlignment="1" pivotButton="0" quotePrefix="0" xfId="0">
      <alignment horizontal="left" vertical="top" indent="3"/>
    </xf>
    <xf numFmtId="169" fontId="15" fillId="0" borderId="34" applyAlignment="1" pivotButton="0" quotePrefix="0" xfId="0">
      <alignment horizontal="right" vertical="top"/>
    </xf>
    <xf numFmtId="168" fontId="19" fillId="0" borderId="34" applyAlignment="1" pivotButton="0" quotePrefix="0" xfId="0">
      <alignment horizontal="right" vertical="top"/>
    </xf>
    <xf numFmtId="49" fontId="14" fillId="0" borderId="0" applyAlignment="1" pivotButton="0" quotePrefix="0" xfId="0">
      <alignment horizontal="left" vertical="top" indent="5"/>
    </xf>
    <xf numFmtId="169" fontId="15" fillId="0" borderId="45" applyAlignment="1" pivotButton="0" quotePrefix="0" xfId="0">
      <alignment horizontal="right" vertical="top"/>
    </xf>
    <xf numFmtId="168" fontId="19" fillId="0" borderId="45" applyAlignment="1" pivotButton="0" quotePrefix="0" xfId="0">
      <alignment horizontal="right" vertical="top"/>
    </xf>
    <xf numFmtId="168" fontId="21" fillId="0" borderId="45" applyAlignment="1" pivotButton="0" quotePrefix="0" xfId="0">
      <alignment horizontal="right" vertical="top"/>
    </xf>
    <xf numFmtId="49" fontId="14" fillId="0" borderId="0" applyAlignment="1" pivotButton="0" quotePrefix="0" xfId="0">
      <alignment horizontal="left" vertical="top" indent="4"/>
    </xf>
    <xf numFmtId="168" fontId="15" fillId="0" borderId="34" applyAlignment="1" pivotButton="0" quotePrefix="0" xfId="0">
      <alignment horizontal="right" vertical="top"/>
    </xf>
    <xf numFmtId="49" fontId="15" fillId="0" borderId="0" applyAlignment="1" pivotButton="0" quotePrefix="0" xfId="0">
      <alignment horizontal="left" vertical="top" indent="2"/>
    </xf>
    <xf numFmtId="49" fontId="15" fillId="0" borderId="0" applyAlignment="1" pivotButton="0" quotePrefix="0" xfId="0">
      <alignment horizontal="left" vertical="top" indent="4"/>
    </xf>
    <xf numFmtId="168" fontId="20" fillId="0" borderId="34" applyAlignment="1" pivotButton="0" quotePrefix="0" xfId="0">
      <alignment horizontal="right" vertical="top"/>
    </xf>
    <xf numFmtId="169" fontId="14" fillId="0" borderId="34" applyAlignment="1" pivotButton="0" quotePrefix="0" xfId="0">
      <alignment horizontal="right" vertical="top"/>
    </xf>
    <xf numFmtId="49" fontId="14" fillId="0" borderId="0" applyAlignment="1" pivotButton="0" quotePrefix="0" xfId="0">
      <alignment horizontal="left" vertical="top" indent="6"/>
    </xf>
    <xf numFmtId="168" fontId="15" fillId="0" borderId="45" applyAlignment="1" pivotButton="0" quotePrefix="0" xfId="0">
      <alignment horizontal="right" vertical="top"/>
    </xf>
    <xf numFmtId="49" fontId="15" fillId="0" borderId="0" applyAlignment="1" pivotButton="0" quotePrefix="0" xfId="0">
      <alignment horizontal="left" vertical="top" indent="5"/>
    </xf>
    <xf numFmtId="49" fontId="14" fillId="0" borderId="0" applyAlignment="1" pivotButton="0" quotePrefix="0" xfId="0">
      <alignment horizontal="left" vertical="top" indent="7"/>
    </xf>
    <xf numFmtId="169" fontId="20" fillId="0" borderId="0" applyAlignment="1" pivotButton="0" quotePrefix="0" xfId="0">
      <alignment horizontal="right" vertical="top"/>
    </xf>
    <xf numFmtId="168" fontId="20" fillId="0" borderId="45" applyAlignment="1" pivotButton="0" quotePrefix="0" xfId="0">
      <alignment horizontal="right" vertical="top"/>
    </xf>
    <xf numFmtId="169" fontId="14" fillId="0" borderId="45" applyAlignment="1" pivotButton="0" quotePrefix="0" xfId="0">
      <alignment horizontal="right" vertical="top"/>
    </xf>
    <xf numFmtId="164" fontId="3" fillId="0" borderId="14" applyAlignment="1" pivotButton="0" quotePrefix="1" xfId="1">
      <alignment horizontal="left"/>
    </xf>
    <xf numFmtId="164" fontId="3" fillId="0" borderId="13" applyAlignment="1" pivotButton="0" quotePrefix="1" xfId="1">
      <alignment horizontal="left"/>
    </xf>
    <xf numFmtId="164" fontId="3" fillId="0" borderId="11" applyAlignment="1" pivotButton="0" quotePrefix="1" xfId="1">
      <alignment horizontal="left"/>
    </xf>
    <xf numFmtId="164" fontId="3" fillId="0" borderId="31" applyAlignment="1" pivotButton="0" quotePrefix="1" xfId="1">
      <alignment horizontal="left"/>
    </xf>
    <xf numFmtId="49" fontId="15" fillId="0" borderId="28" applyAlignment="1" pivotButton="0" quotePrefix="0" xfId="0">
      <alignment horizontal="center" vertical="top" wrapText="1"/>
    </xf>
    <xf numFmtId="49" fontId="15" fillId="0" borderId="0" applyAlignment="1" pivotButton="0" quotePrefix="0" xfId="0">
      <alignment horizontal="center" vertical="top" wrapText="1"/>
    </xf>
    <xf numFmtId="49" fontId="18" fillId="0" borderId="42" applyAlignment="1" pivotButton="0" quotePrefix="0" xfId="0">
      <alignment horizontal="center" vertical="top"/>
    </xf>
    <xf numFmtId="49" fontId="18" fillId="0" borderId="40" applyAlignment="1" pivotButton="0" quotePrefix="0" xfId="0">
      <alignment horizontal="center" vertical="top"/>
    </xf>
    <xf numFmtId="49" fontId="16" fillId="0" borderId="0" applyAlignment="1" pivotButton="0" quotePrefix="0" xfId="0">
      <alignment vertical="top"/>
    </xf>
    <xf numFmtId="49" fontId="17" fillId="0" borderId="45" applyAlignment="1" pivotButton="0" quotePrefix="0" xfId="0">
      <alignment vertical="top"/>
    </xf>
    <xf numFmtId="49" fontId="16" fillId="0" borderId="40" applyAlignment="1" pivotButton="0" quotePrefix="0" xfId="0">
      <alignment vertical="top"/>
    </xf>
    <xf numFmtId="49" fontId="17" fillId="0" borderId="0" applyAlignment="1" pivotButton="0" quotePrefix="0" xfId="0">
      <alignment vertical="top"/>
    </xf>
    <xf numFmtId="49" fontId="18" fillId="0" borderId="42" applyAlignment="1" pivotButton="0" quotePrefix="0" xfId="0">
      <alignment horizontal="center" vertical="top" wrapText="1"/>
    </xf>
    <xf numFmtId="49" fontId="18" fillId="0" borderId="40" applyAlignment="1" pivotButton="0" quotePrefix="0" xfId="0">
      <alignment horizontal="center" vertical="top" wrapText="1"/>
    </xf>
    <xf numFmtId="0" fontId="0" fillId="0" borderId="44" applyAlignment="1" pivotButton="0" quotePrefix="0" xfId="0">
      <alignment horizontal="left" wrapText="1"/>
    </xf>
    <xf numFmtId="0" fontId="0" fillId="0" borderId="45" applyAlignment="1" pivotButton="0" quotePrefix="0" xfId="0">
      <alignment horizontal="left" wrapText="1"/>
    </xf>
    <xf numFmtId="0" fontId="0" fillId="0" borderId="48" applyAlignment="1" pivotButton="0" quotePrefix="0" xfId="0">
      <alignment horizontal="left" wrapText="1"/>
    </xf>
    <xf numFmtId="0" fontId="1" fillId="0" borderId="42" applyAlignment="1" pivotButton="0" quotePrefix="0" xfId="0">
      <alignment horizontal="center"/>
    </xf>
    <xf numFmtId="0" fontId="1" fillId="0" borderId="47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165" fontId="7" fillId="0" borderId="36" applyAlignment="1" pivotButton="0" quotePrefix="0" xfId="1">
      <alignment horizontal="center"/>
    </xf>
    <xf numFmtId="165" fontId="7" fillId="0" borderId="46" applyAlignment="1" pivotButton="0" quotePrefix="0" xfId="1">
      <alignment horizontal="center"/>
    </xf>
    <xf numFmtId="0" fontId="11" fillId="0" borderId="44" applyAlignment="1" pivotButton="0" quotePrefix="0" xfId="0">
      <alignment horizontal="center"/>
    </xf>
    <xf numFmtId="0" fontId="11" fillId="0" borderId="48" applyAlignment="1" pivotButton="0" quotePrefix="0" xfId="0">
      <alignment horizontal="center"/>
    </xf>
    <xf numFmtId="165" fontId="8" fillId="0" borderId="37" applyAlignment="1" pivotButton="0" quotePrefix="0" xfId="1">
      <alignment horizontal="center"/>
    </xf>
    <xf numFmtId="165" fontId="8" fillId="0" borderId="36" applyAlignment="1" pivotButton="0" quotePrefix="0" xfId="1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1" fillId="0" borderId="40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4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3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46" applyAlignment="1" pivotButton="0" quotePrefix="0" xfId="0">
      <alignment horizontal="center"/>
    </xf>
    <xf numFmtId="0" fontId="1" fillId="0" borderId="42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164" fontId="1" fillId="0" borderId="2" applyAlignment="1" pivotButton="0" quotePrefix="0" xfId="1">
      <alignment horizontal="center"/>
    </xf>
    <xf numFmtId="164" fontId="1" fillId="0" borderId="3" applyAlignment="1" pivotButton="0" quotePrefix="0" xfId="1">
      <alignment horizontal="center"/>
    </xf>
    <xf numFmtId="164" fontId="1" fillId="0" borderId="4" applyAlignment="1" pivotButton="0" quotePrefix="0" xfId="1">
      <alignment horizontal="center"/>
    </xf>
    <xf numFmtId="0" fontId="0" fillId="0" borderId="39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164" fontId="1" fillId="0" borderId="1" applyAlignment="1" pivotButton="0" quotePrefix="0" xfId="1">
      <alignment horizontal="center" vertical="center"/>
    </xf>
    <xf numFmtId="164" fontId="1" fillId="0" borderId="9" applyAlignment="1" pivotButton="0" quotePrefix="0" xfId="1">
      <alignment horizontal="center" vertical="center"/>
    </xf>
    <xf numFmtId="166" fontId="0" fillId="0" borderId="37" pivotButton="0" quotePrefix="0" xfId="1"/>
    <xf numFmtId="166" fontId="3" fillId="0" borderId="37" applyAlignment="1" pivotButton="0" quotePrefix="0" xfId="1">
      <alignment horizontal="center"/>
    </xf>
    <xf numFmtId="166" fontId="3" fillId="0" borderId="37" pivotButton="0" quotePrefix="0" xfId="1"/>
    <xf numFmtId="166" fontId="0" fillId="0" borderId="37" applyAlignment="1" pivotButton="0" quotePrefix="0" xfId="1">
      <alignment wrapText="1"/>
    </xf>
    <xf numFmtId="166" fontId="0" fillId="0" borderId="37" applyAlignment="1" pivotButton="0" quotePrefix="0" xfId="1">
      <alignment horizontal="center"/>
    </xf>
    <xf numFmtId="0" fontId="0" fillId="0" borderId="43" applyAlignment="1" pivotButton="0" quotePrefix="0" xfId="0">
      <alignment horizontal="left" wrapText="1"/>
    </xf>
    <xf numFmtId="164" fontId="0" fillId="0" borderId="0" pivotButton="0" quotePrefix="0" xfId="2"/>
    <xf numFmtId="164" fontId="3" fillId="0" borderId="28" pivotButton="0" quotePrefix="0" xfId="2"/>
    <xf numFmtId="164" fontId="3" fillId="0" borderId="18" pivotButton="0" quotePrefix="0" xfId="2"/>
    <xf numFmtId="164" fontId="3" fillId="0" borderId="0" pivotButton="0" quotePrefix="0" xfId="2"/>
    <xf numFmtId="164" fontId="3" fillId="0" borderId="37" pivotButton="0" quotePrefix="0" xfId="2"/>
    <xf numFmtId="165" fontId="3" fillId="0" borderId="18" pivotButton="0" quotePrefix="0" xfId="2"/>
    <xf numFmtId="165" fontId="3" fillId="0" borderId="0" pivotButton="0" quotePrefix="0" xfId="2"/>
    <xf numFmtId="165" fontId="3" fillId="0" borderId="28" pivotButton="0" quotePrefix="0" xfId="2"/>
    <xf numFmtId="165" fontId="3" fillId="0" borderId="37" pivotButton="0" quotePrefix="0" xfId="0"/>
    <xf numFmtId="165" fontId="3" fillId="0" borderId="34" pivotButton="0" quotePrefix="0" xfId="0"/>
    <xf numFmtId="165" fontId="0" fillId="0" borderId="40" pivotButton="0" quotePrefix="0" xfId="2"/>
    <xf numFmtId="165" fontId="0" fillId="0" borderId="41" pivotButton="0" quotePrefix="0" xfId="2"/>
    <xf numFmtId="165" fontId="0" fillId="0" borderId="0" pivotButton="0" quotePrefix="0" xfId="0"/>
    <xf numFmtId="165" fontId="0" fillId="0" borderId="18" pivotButton="0" quotePrefix="0" xfId="1"/>
    <xf numFmtId="43" fontId="0" fillId="0" borderId="0" pivotButton="0" quotePrefix="0" xfId="2"/>
    <xf numFmtId="43" fontId="0" fillId="0" borderId="18" pivotButton="0" quotePrefix="0" xfId="2"/>
    <xf numFmtId="43" fontId="0" fillId="0" borderId="28" pivotButton="0" quotePrefix="0" xfId="2"/>
    <xf numFmtId="166" fontId="0" fillId="0" borderId="18" pivotButton="0" quotePrefix="0" xfId="0"/>
    <xf numFmtId="43" fontId="0" fillId="0" borderId="17" pivotButton="0" quotePrefix="0" xfId="2"/>
    <xf numFmtId="165" fontId="15" fillId="0" borderId="0" applyAlignment="1" pivotButton="0" quotePrefix="0" xfId="1">
      <alignment horizontal="right" vertical="top"/>
    </xf>
    <xf numFmtId="165" fontId="0" fillId="0" borderId="0" pivotButton="0" quotePrefix="0" xfId="1"/>
    <xf numFmtId="165" fontId="0" fillId="0" borderId="37" pivotButton="0" quotePrefix="0" xfId="1"/>
    <xf numFmtId="165" fontId="4" fillId="0" borderId="0" pivotButton="0" quotePrefix="0" xfId="1"/>
    <xf numFmtId="165" fontId="2" fillId="0" borderId="37" pivotButton="0" quotePrefix="0" xfId="1"/>
    <xf numFmtId="165" fontId="7" fillId="0" borderId="0" pivotButton="0" quotePrefix="0" xfId="1"/>
    <xf numFmtId="165" fontId="7" fillId="0" borderId="36" pivotButton="0" quotePrefix="0" xfId="1"/>
    <xf numFmtId="165" fontId="7" fillId="0" borderId="46" pivotButton="0" quotePrefix="0" xfId="1"/>
    <xf numFmtId="165" fontId="7" fillId="0" borderId="37" applyAlignment="1" pivotButton="0" quotePrefix="0" xfId="1">
      <alignment horizontal="center"/>
    </xf>
    <xf numFmtId="0" fontId="11" fillId="0" borderId="43" applyAlignment="1" pivotButton="0" quotePrefix="0" xfId="0">
      <alignment horizontal="center"/>
    </xf>
    <xf numFmtId="165" fontId="7" fillId="0" borderId="42" pivotButton="0" quotePrefix="0" xfId="1"/>
    <xf numFmtId="165" fontId="7" fillId="0" borderId="41" pivotButton="0" quotePrefix="0" xfId="1"/>
    <xf numFmtId="165" fontId="7" fillId="0" borderId="28" pivotButton="0" quotePrefix="0" xfId="1"/>
    <xf numFmtId="165" fontId="7" fillId="0" borderId="18" pivotButton="0" quotePrefix="0" xfId="1"/>
    <xf numFmtId="165" fontId="8" fillId="0" borderId="28" pivotButton="0" quotePrefix="0" xfId="1"/>
    <xf numFmtId="165" fontId="8" fillId="0" borderId="44" pivotButton="0" quotePrefix="0" xfId="1"/>
    <xf numFmtId="165" fontId="8" fillId="0" borderId="49" pivotButton="0" quotePrefix="0" xfId="1"/>
    <xf numFmtId="165" fontId="8" fillId="0" borderId="50" pivotButton="0" quotePrefix="0" xfId="1"/>
    <xf numFmtId="165" fontId="8" fillId="0" borderId="18" pivotButton="0" quotePrefix="0" xfId="1"/>
    <xf numFmtId="165" fontId="8" fillId="0" borderId="43" pivotButton="0" quotePrefix="0" xfId="1"/>
    <xf numFmtId="165" fontId="7" fillId="0" borderId="44" pivotButton="0" quotePrefix="0" xfId="1"/>
    <xf numFmtId="165" fontId="7" fillId="0" borderId="43" pivotButton="0" quotePrefix="0" xfId="1"/>
    <xf numFmtId="165" fontId="5" fillId="0" borderId="37" pivotButton="0" quotePrefix="0" xfId="1"/>
    <xf numFmtId="165" fontId="8" fillId="0" borderId="45" pivotButton="0" quotePrefix="0" xfId="1"/>
    <xf numFmtId="165" fontId="8" fillId="0" borderId="48" pivotButton="0" quotePrefix="0" xfId="1"/>
    <xf numFmtId="165" fontId="7" fillId="0" borderId="40" pivotButton="0" quotePrefix="0" xfId="1"/>
    <xf numFmtId="165" fontId="7" fillId="0" borderId="47" pivotButton="0" quotePrefix="0" xfId="1"/>
    <xf numFmtId="165" fontId="8" fillId="0" borderId="42" applyAlignment="1" pivotButton="0" quotePrefix="0" xfId="1">
      <alignment horizontal="right"/>
    </xf>
    <xf numFmtId="166" fontId="5" fillId="0" borderId="42" pivotButton="0" quotePrefix="0" xfId="1"/>
    <xf numFmtId="165" fontId="8" fillId="0" borderId="41" pivotButton="0" quotePrefix="0" xfId="1"/>
    <xf numFmtId="165" fontId="8" fillId="0" borderId="42" pivotButton="0" quotePrefix="0" xfId="1"/>
    <xf numFmtId="166" fontId="5" fillId="0" borderId="28" pivotButton="0" quotePrefix="0" xfId="1"/>
    <xf numFmtId="165" fontId="8" fillId="0" borderId="36" applyAlignment="1" pivotButton="0" quotePrefix="0" xfId="1">
      <alignment horizontal="right"/>
    </xf>
    <xf numFmtId="165" fontId="5" fillId="0" borderId="44" pivotButton="0" quotePrefix="0" xfId="1"/>
    <xf numFmtId="165" fontId="5" fillId="0" borderId="43" pivotButton="0" quotePrefix="0" xfId="1"/>
    <xf numFmtId="165" fontId="5" fillId="0" borderId="0" pivotButton="0" quotePrefix="0" xfId="1"/>
    <xf numFmtId="165" fontId="5" fillId="0" borderId="28" pivotButton="0" quotePrefix="0" xfId="1"/>
    <xf numFmtId="165" fontId="5" fillId="0" borderId="17" pivotButton="0" quotePrefix="0" xfId="1"/>
    <xf numFmtId="165" fontId="5" fillId="0" borderId="45" pivotButton="0" quotePrefix="0" xfId="1"/>
    <xf numFmtId="165" fontId="5" fillId="0" borderId="48" pivotButton="0" quotePrefix="0" xfId="1"/>
    <xf numFmtId="165" fontId="8" fillId="0" borderId="47" pivotButton="0" quotePrefix="0" xfId="1"/>
    <xf numFmtId="165" fontId="5" fillId="0" borderId="28" applyAlignment="1" pivotButton="0" quotePrefix="0" xfId="1">
      <alignment horizontal="right"/>
    </xf>
    <xf numFmtId="165" fontId="8" fillId="0" borderId="17" applyAlignment="1" pivotButton="0" quotePrefix="0" xfId="1">
      <alignment horizontal="right" vertical="center"/>
    </xf>
    <xf numFmtId="165" fontId="8" fillId="0" borderId="18" applyAlignment="1" pivotButton="0" quotePrefix="0" xfId="1">
      <alignment horizontal="right" vertical="center"/>
    </xf>
    <xf numFmtId="165" fontId="8" fillId="0" borderId="0" pivotButton="0" quotePrefix="0" xfId="1"/>
    <xf numFmtId="165" fontId="9" fillId="0" borderId="0" pivotButton="0" quotePrefix="0" xfId="1"/>
    <xf numFmtId="165" fontId="10" fillId="0" borderId="0" pivotButton="0" quotePrefix="0" xfId="1"/>
    <xf numFmtId="165" fontId="11" fillId="0" borderId="0" pivotButton="0" quotePrefix="0" xfId="1"/>
    <xf numFmtId="165" fontId="11" fillId="0" borderId="28" pivotButton="0" quotePrefix="0" xfId="1"/>
    <xf numFmtId="165" fontId="11" fillId="0" borderId="17" pivotButton="0" quotePrefix="0" xfId="1"/>
    <xf numFmtId="165" fontId="11" fillId="0" borderId="42" pivotButton="0" quotePrefix="0" xfId="1"/>
    <xf numFmtId="165" fontId="11" fillId="0" borderId="41" pivotButton="0" quotePrefix="0" xfId="1"/>
    <xf numFmtId="165" fontId="11" fillId="0" borderId="43" pivotButton="0" quotePrefix="0" xfId="1"/>
    <xf numFmtId="166" fontId="5" fillId="0" borderId="28" applyAlignment="1" pivotButton="0" quotePrefix="0" xfId="1">
      <alignment horizontal="right"/>
    </xf>
    <xf numFmtId="165" fontId="11" fillId="0" borderId="18" pivotButton="0" quotePrefix="0" xfId="1"/>
    <xf numFmtId="165" fontId="2" fillId="0" borderId="0" pivotButton="0" quotePrefix="0" xfId="1"/>
    <xf numFmtId="165" fontId="5" fillId="0" borderId="18" pivotButton="0" quotePrefix="0" xfId="1"/>
    <xf numFmtId="165" fontId="8" fillId="0" borderId="17" pivotButton="0" quotePrefix="0" xfId="1"/>
    <xf numFmtId="165" fontId="7" fillId="0" borderId="37" pivotButton="0" quotePrefix="0" xfId="1"/>
    <xf numFmtId="165" fontId="8" fillId="0" borderId="0" pivotButton="0" quotePrefix="0" xfId="0"/>
    <xf numFmtId="165" fontId="7" fillId="0" borderId="45" pivotButton="0" quotePrefix="0" xfId="1"/>
    <xf numFmtId="165" fontId="7" fillId="0" borderId="48" pivotButton="0" quotePrefix="0" xfId="1"/>
    <xf numFmtId="165" fontId="8" fillId="0" borderId="37" applyAlignment="1" pivotButton="0" quotePrefix="0" xfId="1">
      <alignment horizontal="center"/>
    </xf>
    <xf numFmtId="165" fontId="8" fillId="0" borderId="36" applyAlignment="1" pivotButton="0" quotePrefix="0" xfId="1">
      <alignment horizontal="center"/>
    </xf>
    <xf numFmtId="165" fontId="8" fillId="0" borderId="0" applyAlignment="1" pivotButton="0" quotePrefix="0" xfId="1">
      <alignment horizontal="center"/>
    </xf>
    <xf numFmtId="165" fontId="8" fillId="0" borderId="17" applyAlignment="1" pivotButton="0" quotePrefix="0" xfId="1">
      <alignment horizontal="center"/>
    </xf>
    <xf numFmtId="165" fontId="8" fillId="0" borderId="44" applyAlignment="1" pivotButton="0" quotePrefix="0" xfId="1">
      <alignment horizontal="center"/>
    </xf>
    <xf numFmtId="165" fontId="8" fillId="0" borderId="43" applyAlignment="1" pivotButton="0" quotePrefix="0" xfId="1">
      <alignment horizontal="center"/>
    </xf>
    <xf numFmtId="165" fontId="8" fillId="0" borderId="46" pivotButton="0" quotePrefix="0" xfId="1"/>
    <xf numFmtId="165" fontId="12" fillId="0" borderId="28" pivotButton="0" quotePrefix="0" xfId="1"/>
    <xf numFmtId="165" fontId="13" fillId="0" borderId="18" pivotButton="0" quotePrefix="0" xfId="1"/>
    <xf numFmtId="165" fontId="11" fillId="0" borderId="36" pivotButton="0" quotePrefix="0" xfId="1"/>
    <xf numFmtId="165" fontId="8" fillId="0" borderId="36" pivotButton="0" quotePrefix="0" xfId="1"/>
    <xf numFmtId="165" fontId="8" fillId="0" borderId="37" pivotButton="0" quotePrefix="0" xfId="1"/>
    <xf numFmtId="165" fontId="5" fillId="2" borderId="37" pivotButton="0" quotePrefix="0" xfId="1"/>
    <xf numFmtId="166" fontId="8" fillId="0" borderId="17" pivotButton="0" quotePrefix="0" xfId="1"/>
    <xf numFmtId="166" fontId="0" fillId="0" borderId="0" pivotButton="0" quotePrefix="0" xfId="0"/>
    <xf numFmtId="165" fontId="8" fillId="0" borderId="28" pivotButton="0" quotePrefix="0" xfId="0"/>
    <xf numFmtId="165" fontId="11" fillId="0" borderId="37" pivotButton="0" quotePrefix="0" xfId="1"/>
    <xf numFmtId="164" fontId="3" fillId="0" borderId="42" pivotButton="0" quotePrefix="0" xfId="1"/>
    <xf numFmtId="164" fontId="3" fillId="0" borderId="28" applyAlignment="1" pivotButton="0" quotePrefix="0" xfId="1">
      <alignment horizontal="center"/>
    </xf>
    <xf numFmtId="164" fontId="0" fillId="0" borderId="28" pivotButton="0" quotePrefix="0" xfId="1"/>
    <xf numFmtId="164" fontId="0" fillId="0" borderId="41" pivotButton="0" quotePrefix="0" xfId="1"/>
    <xf numFmtId="164" fontId="0" fillId="0" borderId="18" pivotButton="0" quotePrefix="0" xfId="1"/>
    <xf numFmtId="164" fontId="3" fillId="0" borderId="44" applyAlignment="1" pivotButton="0" quotePrefix="0" xfId="1">
      <alignment horizontal="center"/>
    </xf>
    <xf numFmtId="164" fontId="0" fillId="0" borderId="44" pivotButton="0" quotePrefix="0" xfId="1"/>
    <xf numFmtId="164" fontId="0" fillId="0" borderId="43" pivotButton="0" quotePrefix="0" xfId="1"/>
    <xf numFmtId="164" fontId="3" fillId="0" borderId="0" applyAlignment="1" pivotButton="0" quotePrefix="0" xfId="1">
      <alignment horizontal="center"/>
    </xf>
    <xf numFmtId="164" fontId="0" fillId="0" borderId="0" pivotButton="0" quotePrefix="0" xfId="1"/>
    <xf numFmtId="43" fontId="0" fillId="0" borderId="0" pivotButton="0" quotePrefix="0" xfId="0"/>
    <xf numFmtId="165" fontId="0" fillId="0" borderId="18" applyAlignment="1" pivotButton="0" quotePrefix="0" xfId="1">
      <alignment horizontal="center"/>
    </xf>
    <xf numFmtId="165" fontId="0" fillId="0" borderId="18" applyAlignment="1" pivotButton="0" quotePrefix="0" xfId="1">
      <alignment horizontal="right"/>
    </xf>
    <xf numFmtId="164" fontId="0" fillId="0" borderId="0" pivotButton="0" quotePrefix="0" xfId="0"/>
    <xf numFmtId="165" fontId="0" fillId="0" borderId="43" applyAlignment="1" pivotButton="0" quotePrefix="0" xfId="1">
      <alignment horizontal="center"/>
    </xf>
    <xf numFmtId="165" fontId="0" fillId="0" borderId="37" applyAlignment="1" pivotButton="0" quotePrefix="0" xfId="1">
      <alignment horizontal="center"/>
    </xf>
    <xf numFmtId="165" fontId="0" fillId="0" borderId="37" applyAlignment="1" pivotButton="0" quotePrefix="0" xfId="1">
      <alignment horizontal="right"/>
    </xf>
    <xf numFmtId="165" fontId="3" fillId="0" borderId="18" applyAlignment="1" pivotButton="0" quotePrefix="0" xfId="1">
      <alignment horizontal="right"/>
    </xf>
    <xf numFmtId="165" fontId="0" fillId="0" borderId="18" applyAlignment="1" pivotButton="0" quotePrefix="0" xfId="0">
      <alignment horizontal="center"/>
    </xf>
    <xf numFmtId="165" fontId="0" fillId="0" borderId="43" applyAlignment="1" pivotButton="0" quotePrefix="0" xfId="0">
      <alignment horizontal="center"/>
    </xf>
    <xf numFmtId="165" fontId="2" fillId="0" borderId="28" pivotButton="0" quotePrefix="0" xfId="1"/>
    <xf numFmtId="165" fontId="2" fillId="0" borderId="41" pivotButton="0" quotePrefix="0" xfId="1"/>
    <xf numFmtId="165" fontId="0" fillId="0" borderId="28" pivotButton="0" quotePrefix="0" xfId="1"/>
    <xf numFmtId="164" fontId="0" fillId="0" borderId="18" pivotButton="0" quotePrefix="0" xfId="2"/>
    <xf numFmtId="164" fontId="0" fillId="0" borderId="17" pivotButton="0" quotePrefix="0" xfId="2"/>
    <xf numFmtId="165" fontId="2" fillId="0" borderId="18" pivotButton="0" quotePrefix="0" xfId="1"/>
    <xf numFmtId="164" fontId="2" fillId="0" borderId="18" pivotButton="0" quotePrefix="0" xfId="2"/>
    <xf numFmtId="164" fontId="2" fillId="0" borderId="17" pivotButton="0" quotePrefix="0" xfId="2"/>
    <xf numFmtId="164" fontId="0" fillId="0" borderId="37" pivotButton="0" quotePrefix="0" xfId="2"/>
    <xf numFmtId="165" fontId="0" fillId="0" borderId="44" pivotButton="0" quotePrefix="0" xfId="1"/>
    <xf numFmtId="165" fontId="0" fillId="0" borderId="43" pivotButton="0" quotePrefix="0" xfId="1"/>
    <xf numFmtId="164" fontId="0" fillId="0" borderId="43" pivotButton="0" quotePrefix="0" xfId="2"/>
    <xf numFmtId="164" fontId="0" fillId="0" borderId="48" pivotButton="0" quotePrefix="0" xfId="2"/>
    <xf numFmtId="164" fontId="0" fillId="0" borderId="0" applyAlignment="1" pivotButton="0" quotePrefix="0" xfId="2">
      <alignment horizontal="right" wrapText="1"/>
    </xf>
    <xf numFmtId="164" fontId="0" fillId="0" borderId="0" applyAlignment="1" pivotButton="0" quotePrefix="0" xfId="2">
      <alignment horizontal="center" vertical="center" wrapText="1"/>
    </xf>
    <xf numFmtId="0" fontId="0" fillId="0" borderId="13" pivotButton="0" quotePrefix="0" xfId="0"/>
    <xf numFmtId="165" fontId="0" fillId="0" borderId="41" applyAlignment="1" pivotButton="0" quotePrefix="0" xfId="1">
      <alignment horizontal="center"/>
    </xf>
    <xf numFmtId="165" fontId="0" fillId="0" borderId="41" applyAlignment="1" pivotButton="0" quotePrefix="0" xfId="1">
      <alignment horizontal="right"/>
    </xf>
    <xf numFmtId="165" fontId="0" fillId="0" borderId="37" applyAlignment="1" pivotButton="0" quotePrefix="0" xfId="0">
      <alignment horizontal="center"/>
    </xf>
    <xf numFmtId="0" fontId="1" fillId="0" borderId="36" applyAlignment="1" pivotButton="0" quotePrefix="0" xfId="0">
      <alignment horizontal="center" vertical="center"/>
    </xf>
    <xf numFmtId="165" fontId="3" fillId="0" borderId="18" pivotButton="0" quotePrefix="0" xfId="1"/>
    <xf numFmtId="165" fontId="3" fillId="0" borderId="18" applyAlignment="1" pivotButton="0" quotePrefix="0" xfId="0">
      <alignment horizontal="center"/>
    </xf>
    <xf numFmtId="165" fontId="1" fillId="0" borderId="18" applyAlignment="1" pivotButton="0" quotePrefix="0" xfId="0">
      <alignment horizontal="center"/>
    </xf>
    <xf numFmtId="165" fontId="3" fillId="0" borderId="43" pivotButton="0" quotePrefix="0" xfId="1"/>
    <xf numFmtId="165" fontId="3" fillId="0" borderId="43" applyAlignment="1" pivotButton="0" quotePrefix="0" xfId="0">
      <alignment horizontal="center"/>
    </xf>
    <xf numFmtId="165" fontId="1" fillId="0" borderId="43" applyAlignment="1" pivotButton="0" quotePrefix="0" xfId="0">
      <alignment horizontal="center"/>
    </xf>
    <xf numFmtId="165" fontId="1" fillId="0" borderId="43" pivotButton="0" quotePrefix="0" xfId="1"/>
    <xf numFmtId="165" fontId="3" fillId="0" borderId="41" pivotButton="0" quotePrefix="0" xfId="1"/>
    <xf numFmtId="165" fontId="1" fillId="0" borderId="41" applyAlignment="1" pivotButton="0" quotePrefix="0" xfId="0">
      <alignment horizontal="center"/>
    </xf>
    <xf numFmtId="165" fontId="1" fillId="0" borderId="28" applyAlignment="1" pivotButton="0" quotePrefix="0" xfId="1">
      <alignment horizontal="center"/>
    </xf>
    <xf numFmtId="165" fontId="3" fillId="0" borderId="28" applyAlignment="1" pivotButton="0" quotePrefix="0" xfId="1">
      <alignment horizontal="center"/>
    </xf>
    <xf numFmtId="165" fontId="3" fillId="0" borderId="18" applyAlignment="1" pivotButton="0" quotePrefix="0" xfId="1">
      <alignment horizontal="center"/>
    </xf>
    <xf numFmtId="165" fontId="1" fillId="0" borderId="37" pivotButton="0" quotePrefix="0" xfId="1"/>
    <xf numFmtId="165" fontId="1" fillId="0" borderId="37" pivotButton="0" quotePrefix="0" xfId="0"/>
    <xf numFmtId="165" fontId="1" fillId="0" borderId="37" applyAlignment="1" pivotButton="0" quotePrefix="0" xfId="1">
      <alignment horizontal="center"/>
    </xf>
    <xf numFmtId="165" fontId="3" fillId="0" borderId="37" pivotButton="0" quotePrefix="0" xfId="1"/>
    <xf numFmtId="43" fontId="3" fillId="0" borderId="40" pivotButton="0" quotePrefix="0" xfId="3"/>
    <xf numFmtId="43" fontId="3" fillId="0" borderId="37" applyAlignment="1" pivotButton="0" quotePrefix="0" xfId="3">
      <alignment wrapText="1"/>
    </xf>
    <xf numFmtId="164" fontId="3" fillId="0" borderId="41" pivotButton="0" quotePrefix="0" xfId="3"/>
    <xf numFmtId="43" fontId="3" fillId="0" borderId="0" pivotButton="0" quotePrefix="0" xfId="3"/>
    <xf numFmtId="164" fontId="3" fillId="0" borderId="18" pivotButton="0" quotePrefix="0" xfId="3"/>
    <xf numFmtId="164" fontId="3" fillId="0" borderId="41" applyAlignment="1" pivotButton="0" quotePrefix="0" xfId="3">
      <alignment horizontal="center"/>
    </xf>
    <xf numFmtId="43" fontId="3" fillId="0" borderId="34" pivotButton="0" quotePrefix="0" xfId="3"/>
    <xf numFmtId="164" fontId="3" fillId="0" borderId="37" pivotButton="0" quotePrefix="0" xfId="3"/>
    <xf numFmtId="165" fontId="0" fillId="0" borderId="45" pivotButton="0" quotePrefix="0" xfId="1"/>
    <xf numFmtId="164" fontId="0" fillId="0" borderId="45" pivotButton="0" quotePrefix="0" xfId="0"/>
    <xf numFmtId="165" fontId="0" fillId="0" borderId="45" pivotButton="0" quotePrefix="0" xfId="0"/>
    <xf numFmtId="164" fontId="1" fillId="0" borderId="1" pivotButton="0" quotePrefix="0" xfId="1"/>
    <xf numFmtId="164" fontId="1" fillId="0" borderId="1" applyAlignment="1" pivotButton="0" quotePrefix="0" xfId="1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1" fillId="0" borderId="4" applyAlignment="1" pivotButton="0" quotePrefix="0" xfId="1">
      <alignment horizontal="center"/>
    </xf>
    <xf numFmtId="164" fontId="1" fillId="0" borderId="24" applyAlignment="1" pivotButton="0" quotePrefix="0" xfId="1">
      <alignment horizontal="center" vertical="center"/>
    </xf>
    <xf numFmtId="164" fontId="3" fillId="0" borderId="5" applyAlignment="1" pivotButton="0" quotePrefix="0" xfId="1">
      <alignment wrapText="1"/>
    </xf>
    <xf numFmtId="164" fontId="3" fillId="0" borderId="6" pivotButton="0" quotePrefix="0" xfId="1"/>
    <xf numFmtId="164" fontId="3" fillId="0" borderId="7" pivotButton="0" quotePrefix="0" xfId="1"/>
    <xf numFmtId="164" fontId="3" fillId="0" borderId="3" pivotButton="0" quotePrefix="0" xfId="1"/>
    <xf numFmtId="164" fontId="3" fillId="0" borderId="8" pivotButton="0" quotePrefix="0" xfId="1"/>
    <xf numFmtId="164" fontId="3" fillId="0" borderId="29" pivotButton="0" quotePrefix="0" xfId="1"/>
    <xf numFmtId="164" fontId="3" fillId="0" borderId="4" pivotButton="0" quotePrefix="0" xfId="1"/>
    <xf numFmtId="0" fontId="0" fillId="0" borderId="9" pivotButton="0" quotePrefix="0" xfId="0"/>
    <xf numFmtId="164" fontId="3" fillId="0" borderId="10" applyAlignment="1" pivotButton="0" quotePrefix="0" xfId="1">
      <alignment horizontal="left"/>
    </xf>
    <xf numFmtId="164" fontId="3" fillId="0" borderId="11" pivotButton="0" quotePrefix="0" xfId="1"/>
    <xf numFmtId="164" fontId="3" fillId="0" borderId="12" pivotButton="0" quotePrefix="0" xfId="1"/>
    <xf numFmtId="164" fontId="3" fillId="0" borderId="13" pivotButton="0" quotePrefix="0" xfId="1"/>
    <xf numFmtId="164" fontId="3" fillId="0" borderId="14" applyAlignment="1" pivotButton="0" quotePrefix="1" xfId="1">
      <alignment horizontal="left"/>
    </xf>
    <xf numFmtId="164" fontId="3" fillId="0" borderId="13" applyAlignment="1" pivotButton="0" quotePrefix="1" xfId="1">
      <alignment horizontal="left"/>
    </xf>
    <xf numFmtId="164" fontId="3" fillId="0" borderId="30" pivotButton="0" quotePrefix="0" xfId="1"/>
    <xf numFmtId="164" fontId="3" fillId="0" borderId="11" applyAlignment="1" pivotButton="0" quotePrefix="1" xfId="1">
      <alignment horizontal="left"/>
    </xf>
    <xf numFmtId="164" fontId="3" fillId="0" borderId="31" applyAlignment="1" pivotButton="0" quotePrefix="1" xfId="1">
      <alignment horizontal="left"/>
    </xf>
    <xf numFmtId="164" fontId="1" fillId="0" borderId="15" applyAlignment="1" pivotButton="0" quotePrefix="0" xfId="1">
      <alignment horizontal="center" vertical="center"/>
    </xf>
    <xf numFmtId="164" fontId="3" fillId="0" borderId="16" applyAlignment="1" pivotButton="0" quotePrefix="0" xfId="1">
      <alignment horizontal="left"/>
    </xf>
    <xf numFmtId="164" fontId="3" fillId="0" borderId="17" pivotButton="0" quotePrefix="0" xfId="1"/>
    <xf numFmtId="164" fontId="3" fillId="0" borderId="18" pivotButton="0" quotePrefix="0" xfId="1"/>
    <xf numFmtId="164" fontId="3" fillId="0" borderId="0" pivotButton="0" quotePrefix="0" xfId="1"/>
    <xf numFmtId="164" fontId="3" fillId="0" borderId="19" applyAlignment="1" pivotButton="0" quotePrefix="0" xfId="1">
      <alignment horizontal="left"/>
    </xf>
    <xf numFmtId="165" fontId="3" fillId="0" borderId="1" applyAlignment="1" pivotButton="0" quotePrefix="0" xfId="1">
      <alignment horizontal="left"/>
    </xf>
    <xf numFmtId="164" fontId="3" fillId="0" borderId="28" pivotButton="0" quotePrefix="0" xfId="1"/>
    <xf numFmtId="164" fontId="3" fillId="0" borderId="17" applyAlignment="1" pivotButton="0" quotePrefix="0" xfId="1">
      <alignment horizontal="left"/>
    </xf>
    <xf numFmtId="164" fontId="3" fillId="0" borderId="32" applyAlignment="1" pivotButton="0" quotePrefix="0" xfId="1">
      <alignment horizontal="left"/>
    </xf>
    <xf numFmtId="164" fontId="3" fillId="0" borderId="15" applyAlignment="1" pivotButton="0" quotePrefix="0" xfId="1">
      <alignment horizontal="left"/>
    </xf>
    <xf numFmtId="164" fontId="3" fillId="0" borderId="16" applyAlignment="1" pivotButton="0" quotePrefix="0" xfId="1">
      <alignment horizontal="right" vertical="top"/>
    </xf>
    <xf numFmtId="164" fontId="3" fillId="0" borderId="19" applyAlignment="1" pivotButton="0" quotePrefix="0" xfId="1">
      <alignment horizontal="right"/>
    </xf>
    <xf numFmtId="165" fontId="0" fillId="0" borderId="15" pivotButton="0" quotePrefix="0" xfId="1"/>
    <xf numFmtId="164" fontId="3" fillId="0" borderId="17" applyAlignment="1" pivotButton="0" quotePrefix="0" xfId="1">
      <alignment horizontal="right"/>
    </xf>
    <xf numFmtId="164" fontId="3" fillId="0" borderId="32" applyAlignment="1" pivotButton="0" quotePrefix="0" xfId="1">
      <alignment horizontal="right"/>
    </xf>
    <xf numFmtId="164" fontId="3" fillId="0" borderId="16" pivotButton="0" quotePrefix="0" xfId="1"/>
    <xf numFmtId="164" fontId="1" fillId="0" borderId="20" applyAlignment="1" pivotButton="0" quotePrefix="0" xfId="1">
      <alignment horizontal="left"/>
    </xf>
    <xf numFmtId="164" fontId="1" fillId="0" borderId="21" pivotButton="0" quotePrefix="0" xfId="1"/>
    <xf numFmtId="164" fontId="1" fillId="0" borderId="22" pivotButton="0" quotePrefix="0" xfId="1"/>
    <xf numFmtId="164" fontId="1" fillId="0" borderId="23" pivotButton="0" quotePrefix="0" xfId="1"/>
    <xf numFmtId="165" fontId="0" fillId="0" borderId="24" pivotButton="0" quotePrefix="0" xfId="1"/>
    <xf numFmtId="164" fontId="1" fillId="0" borderId="25" pivotButton="0" quotePrefix="0" xfId="1"/>
    <xf numFmtId="164" fontId="1" fillId="0" borderId="24" applyAlignment="1" pivotButton="0" quotePrefix="0" xfId="1">
      <alignment horizontal="left"/>
    </xf>
    <xf numFmtId="165" fontId="0" fillId="0" borderId="9" pivotButton="0" quotePrefix="0" xfId="1"/>
    <xf numFmtId="164" fontId="1" fillId="0" borderId="0" applyAlignment="1" pivotButton="0" quotePrefix="0" xfId="1">
      <alignment horizontal="left"/>
    </xf>
    <xf numFmtId="164" fontId="1" fillId="0" borderId="0" pivotButton="0" quotePrefix="0" xfId="1"/>
    <xf numFmtId="164" fontId="1" fillId="0" borderId="21" pivotButton="0" quotePrefix="0" xfId="2"/>
    <xf numFmtId="164" fontId="1" fillId="0" borderId="22" applyAlignment="1" pivotButton="0" quotePrefix="0" xfId="2">
      <alignment wrapText="1"/>
    </xf>
    <xf numFmtId="164" fontId="1" fillId="0" borderId="26" applyAlignment="1" pivotButton="0" quotePrefix="0" xfId="2">
      <alignment wrapText="1"/>
    </xf>
    <xf numFmtId="164" fontId="1" fillId="0" borderId="21" applyAlignment="1" pivotButton="0" quotePrefix="0" xfId="2">
      <alignment wrapText="1"/>
    </xf>
    <xf numFmtId="164" fontId="1" fillId="0" borderId="27" applyAlignment="1" pivotButton="0" quotePrefix="0" xfId="2">
      <alignment wrapText="1"/>
    </xf>
    <xf numFmtId="164" fontId="2" fillId="0" borderId="0" applyAlignment="1" pivotButton="0" quotePrefix="0" xfId="0">
      <alignment horizontal="center" wrapText="1"/>
    </xf>
    <xf numFmtId="164" fontId="1" fillId="0" borderId="0" applyAlignment="1" pivotButton="0" quotePrefix="0" xfId="2">
      <alignment wrapText="1"/>
    </xf>
    <xf numFmtId="164" fontId="1" fillId="0" borderId="20" applyAlignment="1" pivotButton="0" quotePrefix="0" xfId="2">
      <alignment wrapText="1"/>
    </xf>
    <xf numFmtId="164" fontId="1" fillId="0" borderId="18" applyAlignment="1" pivotButton="0" quotePrefix="0" xfId="2">
      <alignment wrapText="1"/>
    </xf>
    <xf numFmtId="164" fontId="1" fillId="0" borderId="17" applyAlignment="1" pivotButton="0" quotePrefix="0" xfId="2">
      <alignment wrapText="1"/>
    </xf>
    <xf numFmtId="164" fontId="1" fillId="0" borderId="16" applyAlignment="1" pivotButton="0" quotePrefix="0" xfId="2">
      <alignment wrapText="1"/>
    </xf>
    <xf numFmtId="164" fontId="1" fillId="0" borderId="28" applyAlignment="1" pivotButton="0" quotePrefix="0" xfId="2">
      <alignment wrapText="1"/>
    </xf>
    <xf numFmtId="164" fontId="1" fillId="0" borderId="32" applyAlignment="1" pivotButton="0" quotePrefix="0" xfId="2">
      <alignment wrapText="1"/>
    </xf>
    <xf numFmtId="164" fontId="3" fillId="0" borderId="20" pivotButton="0" quotePrefix="0" xfId="2"/>
    <xf numFmtId="164" fontId="3" fillId="0" borderId="17" applyAlignment="1" pivotButton="0" quotePrefix="0" xfId="2">
      <alignment wrapText="1"/>
    </xf>
    <xf numFmtId="164" fontId="3" fillId="0" borderId="16" applyAlignment="1" pivotButton="0" quotePrefix="0" xfId="2">
      <alignment wrapText="1"/>
    </xf>
    <xf numFmtId="164" fontId="3" fillId="0" borderId="0" applyAlignment="1" pivotButton="0" quotePrefix="0" xfId="2">
      <alignment wrapText="1"/>
    </xf>
    <xf numFmtId="164" fontId="3" fillId="0" borderId="28" applyAlignment="1" pivotButton="0" quotePrefix="0" xfId="2">
      <alignment wrapText="1"/>
    </xf>
    <xf numFmtId="164" fontId="3" fillId="0" borderId="18" applyAlignment="1" pivotButton="0" quotePrefix="0" xfId="2">
      <alignment wrapText="1"/>
    </xf>
    <xf numFmtId="164" fontId="0" fillId="0" borderId="17" applyAlignment="1" pivotButton="0" quotePrefix="0" xfId="2">
      <alignment wrapText="1"/>
    </xf>
    <xf numFmtId="164" fontId="3" fillId="0" borderId="32" applyAlignment="1" pivotButton="0" quotePrefix="0" xfId="2">
      <alignment wrapText="1"/>
    </xf>
    <xf numFmtId="165" fontId="0" fillId="0" borderId="16" pivotButton="0" quotePrefix="0" xfId="2"/>
    <xf numFmtId="165" fontId="0" fillId="0" borderId="0" pivotButton="0" quotePrefix="0" xfId="2"/>
    <xf numFmtId="165" fontId="0" fillId="0" borderId="18" pivotButton="0" quotePrefix="0" xfId="2"/>
    <xf numFmtId="165" fontId="0" fillId="0" borderId="17" pivotButton="0" quotePrefix="0" xfId="2"/>
    <xf numFmtId="165" fontId="0" fillId="0" borderId="32" pivotButton="0" quotePrefix="0" xfId="2"/>
    <xf numFmtId="165" fontId="0" fillId="0" borderId="20" pivotButton="0" quotePrefix="0" xfId="1"/>
    <xf numFmtId="165" fontId="2" fillId="0" borderId="21" pivotButton="0" quotePrefix="0" xfId="0"/>
    <xf numFmtId="165" fontId="2" fillId="0" borderId="25" pivotButton="0" quotePrefix="0" xfId="0"/>
    <xf numFmtId="165" fontId="2" fillId="0" borderId="22" pivotButton="0" quotePrefix="0" xfId="0"/>
    <xf numFmtId="166" fontId="2" fillId="0" borderId="25" pivotButton="0" quotePrefix="0" xfId="0"/>
    <xf numFmtId="165" fontId="2" fillId="0" borderId="23" pivotButton="0" quotePrefix="0" xfId="0"/>
    <xf numFmtId="166" fontId="2" fillId="0" borderId="32" pivotButton="0" quotePrefix="0" xfId="0"/>
    <xf numFmtId="165" fontId="2" fillId="0" borderId="33" pivotButton="0" quotePrefix="0" xfId="1"/>
    <xf numFmtId="164" fontId="2" fillId="0" borderId="34" pivotButton="0" quotePrefix="0" xfId="0"/>
    <xf numFmtId="165" fontId="2" fillId="0" borderId="34" pivotButton="0" quotePrefix="0" xfId="1"/>
    <xf numFmtId="164" fontId="0" fillId="0" borderId="34" pivotButton="0" quotePrefix="0" xfId="0"/>
    <xf numFmtId="165" fontId="0" fillId="0" borderId="34" pivotButton="0" quotePrefix="0" xfId="1"/>
    <xf numFmtId="166" fontId="2" fillId="0" borderId="16" pivotButton="0" quotePrefix="0" xfId="0"/>
    <xf numFmtId="166" fontId="2" fillId="0" borderId="0" pivotButton="0" quotePrefix="0" xfId="0"/>
    <xf numFmtId="165" fontId="2" fillId="0" borderId="18" pivotButton="0" quotePrefix="0" xfId="0"/>
    <xf numFmtId="165" fontId="2" fillId="0" borderId="17" pivotButton="0" quotePrefix="0" xfId="0"/>
    <xf numFmtId="166" fontId="2" fillId="0" borderId="17" pivotButton="0" quotePrefix="0" xfId="0"/>
    <xf numFmtId="165" fontId="0" fillId="0" borderId="16" pivotButton="0" quotePrefix="0" xfId="0"/>
    <xf numFmtId="165" fontId="0" fillId="0" borderId="18" pivotButton="0" quotePrefix="0" xfId="0"/>
    <xf numFmtId="165" fontId="0" fillId="0" borderId="17" pivotButton="0" quotePrefix="0" xfId="0"/>
    <xf numFmtId="165" fontId="2" fillId="0" borderId="5" pivotButton="0" quotePrefix="0" xfId="0"/>
    <xf numFmtId="165" fontId="2" fillId="0" borderId="6" pivotButton="0" quotePrefix="0" xfId="0"/>
    <xf numFmtId="165" fontId="2" fillId="0" borderId="4" pivotButton="0" quotePrefix="0" xfId="0"/>
    <xf numFmtId="165" fontId="0" fillId="0" borderId="34" pivotButton="0" quotePrefix="0" xfId="0"/>
    <xf numFmtId="165" fontId="2" fillId="0" borderId="3" pivotButton="0" quotePrefix="0" xfId="0"/>
    <xf numFmtId="165" fontId="2" fillId="0" borderId="7" pivotButton="0" quotePrefix="0" xfId="0"/>
    <xf numFmtId="166" fontId="2" fillId="0" borderId="7" pivotButton="0" quotePrefix="0" xfId="0"/>
    <xf numFmtId="166" fontId="2" fillId="0" borderId="4" pivotButton="0" quotePrefix="0" xfId="0"/>
    <xf numFmtId="166" fontId="2" fillId="0" borderId="18" pivotButton="0" quotePrefix="0" xfId="0"/>
    <xf numFmtId="164" fontId="0" fillId="0" borderId="16" pivotButton="0" quotePrefix="0" xfId="2"/>
    <xf numFmtId="165" fontId="4" fillId="0" borderId="18" pivotButton="0" quotePrefix="0" xfId="0"/>
    <xf numFmtId="165" fontId="0" fillId="0" borderId="32" pivotButton="0" quotePrefix="0" xfId="0"/>
    <xf numFmtId="166" fontId="0" fillId="0" borderId="18" pivotButton="0" quotePrefix="0" xfId="2"/>
    <xf numFmtId="165" fontId="4" fillId="0" borderId="18" pivotButton="0" quotePrefix="0" xfId="2"/>
    <xf numFmtId="166" fontId="0" fillId="0" borderId="32" pivotButton="0" quotePrefix="0" xfId="2"/>
    <xf numFmtId="164" fontId="3" fillId="0" borderId="17" pivotButton="0" quotePrefix="0" xfId="2"/>
    <xf numFmtId="166" fontId="0" fillId="0" borderId="17" pivotButton="0" quotePrefix="0" xfId="2"/>
    <xf numFmtId="165" fontId="2" fillId="0" borderId="21" pivotButton="0" quotePrefix="0" xfId="2"/>
    <xf numFmtId="165" fontId="2" fillId="0" borderId="25" pivotButton="0" quotePrefix="0" xfId="2"/>
    <xf numFmtId="166" fontId="2" fillId="0" borderId="25" pivotButton="0" quotePrefix="0" xfId="2"/>
    <xf numFmtId="165" fontId="2" fillId="0" borderId="35" pivotButton="0" quotePrefix="0" xfId="2"/>
    <xf numFmtId="165" fontId="0" fillId="0" borderId="36" pivotButton="0" quotePrefix="0" xfId="1"/>
    <xf numFmtId="166" fontId="2" fillId="0" borderId="32" pivotButton="0" quotePrefix="0" xfId="2"/>
    <xf numFmtId="165" fontId="0" fillId="0" borderId="40" pivotButton="0" quotePrefix="0" xfId="1"/>
    <xf numFmtId="164" fontId="0" fillId="0" borderId="40" pivotButton="0" quotePrefix="0" xfId="0"/>
    <xf numFmtId="0" fontId="0" fillId="0" borderId="27" pivotButton="0" quotePrefix="0" xfId="0"/>
    <xf numFmtId="166" fontId="2" fillId="0" borderId="22" pivotButton="0" quotePrefix="0" xfId="0"/>
  </cellXfs>
  <cellStyles count="4">
    <cellStyle name="Normal" xfId="0" builtinId="0"/>
    <cellStyle name="Comma" xfId="1" builtinId="3"/>
    <cellStyle name="Comma 2" xfId="2"/>
    <cellStyle name="Comma 5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D\2022%20cases\RAMSON%20&amp;%20GRANDSON%20JEW%20PVt%20ltd\2021\AP\RC2%20202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"/>
      <sheetName val="TB2021"/>
      <sheetName val="BS"/>
      <sheetName val="CFS"/>
      <sheetName val="C F S"/>
      <sheetName val="PL"/>
      <sheetName val="CF"/>
      <sheetName val="Notes"/>
      <sheetName val="Sub Grouping"/>
      <sheetName val="Addl. Notes"/>
      <sheetName val="Dep as per IT Act"/>
      <sheetName val="Dep as per Com Act"/>
      <sheetName val="Tax Audit"/>
      <sheetName val="TB 2020"/>
      <sheetName val="Queries"/>
    </sheetNames>
    <sheetDataSet>
      <sheetData sheetId="0"/>
      <sheetData sheetId="1">
        <row r="62">
          <cell r="O62">
            <v>1300000</v>
          </cell>
        </row>
        <row r="64">
          <cell r="O64">
            <v>4231176.3600000003</v>
          </cell>
        </row>
        <row r="65">
          <cell r="O65">
            <v>9800000</v>
          </cell>
        </row>
        <row r="73">
          <cell r="N73">
            <v>39720.32</v>
          </cell>
        </row>
        <row r="74">
          <cell r="N74">
            <v>603239.31999999995</v>
          </cell>
        </row>
        <row r="76">
          <cell r="N76">
            <v>5402162.9100000001</v>
          </cell>
        </row>
        <row r="77">
          <cell r="N77">
            <v>100000</v>
          </cell>
          <cell r="O77">
            <v>43993246</v>
          </cell>
        </row>
        <row r="89">
          <cell r="N89">
            <v>33927855</v>
          </cell>
        </row>
        <row r="107">
          <cell r="O107">
            <v>7748475980.0200005</v>
          </cell>
        </row>
        <row r="117">
          <cell r="N117">
            <v>7755581375.8800001</v>
          </cell>
        </row>
        <row r="123">
          <cell r="O123">
            <v>28641</v>
          </cell>
        </row>
        <row r="125">
          <cell r="O125">
            <v>207868</v>
          </cell>
        </row>
        <row r="130">
          <cell r="O130">
            <v>353425</v>
          </cell>
        </row>
        <row r="138">
          <cell r="N138">
            <v>269613.83</v>
          </cell>
        </row>
        <row r="147">
          <cell r="N147">
            <v>40500</v>
          </cell>
        </row>
        <row r="148">
          <cell r="N148">
            <v>1170973</v>
          </cell>
        </row>
        <row r="149">
          <cell r="N149">
            <v>13739</v>
          </cell>
        </row>
        <row r="155">
          <cell r="N155">
            <v>293791.03999999998</v>
          </cell>
        </row>
      </sheetData>
      <sheetData sheetId="2">
        <row r="10">
          <cell r="C10">
            <v>10394697</v>
          </cell>
          <cell r="D10">
            <v>19582300</v>
          </cell>
        </row>
        <row r="12">
          <cell r="C12">
            <v>43993246</v>
          </cell>
          <cell r="D12">
            <v>61211391.270000003</v>
          </cell>
        </row>
        <row r="13">
          <cell r="C13">
            <v>496719.1</v>
          </cell>
          <cell r="D13">
            <v>128700</v>
          </cell>
        </row>
        <row r="20">
          <cell r="D20">
            <v>55000000</v>
          </cell>
        </row>
        <row r="21">
          <cell r="C21">
            <v>200000</v>
          </cell>
          <cell r="D21">
            <v>700000</v>
          </cell>
        </row>
        <row r="23">
          <cell r="C23">
            <v>67151202</v>
          </cell>
          <cell r="D23">
            <v>33927855</v>
          </cell>
        </row>
        <row r="24">
          <cell r="D24">
            <v>400000</v>
          </cell>
        </row>
        <row r="25">
          <cell r="C25">
            <v>2269035.2000000002</v>
          </cell>
          <cell r="D25">
            <v>595019.06999999995</v>
          </cell>
        </row>
        <row r="26">
          <cell r="C26">
            <v>5122537.8527999604</v>
          </cell>
          <cell r="D26">
            <v>5342805</v>
          </cell>
        </row>
      </sheetData>
      <sheetData sheetId="3"/>
      <sheetData sheetId="4"/>
      <sheetData sheetId="5">
        <row r="17">
          <cell r="C17">
            <v>269613.83</v>
          </cell>
        </row>
        <row r="18">
          <cell r="C18">
            <v>35383.866666666698</v>
          </cell>
        </row>
        <row r="21">
          <cell r="C21">
            <v>6480120.8533334704</v>
          </cell>
        </row>
        <row r="23">
          <cell r="C23">
            <v>1662882.9672000399</v>
          </cell>
        </row>
        <row r="25">
          <cell r="C25">
            <v>4795289.4314667704</v>
          </cell>
          <cell r="D25">
            <v>311867.03999996203</v>
          </cell>
        </row>
      </sheetData>
      <sheetData sheetId="6"/>
      <sheetData sheetId="7">
        <row r="10">
          <cell r="D10">
            <v>1300000</v>
          </cell>
          <cell r="F10">
            <v>1300000</v>
          </cell>
        </row>
        <row r="34">
          <cell r="D34">
            <v>18826465.791466799</v>
          </cell>
          <cell r="F34">
            <v>14031176.93</v>
          </cell>
        </row>
        <row r="40">
          <cell r="C40">
            <v>10394697</v>
          </cell>
          <cell r="E40">
            <v>19582300</v>
          </cell>
        </row>
        <row r="44">
          <cell r="D44">
            <v>43993246</v>
          </cell>
          <cell r="F44">
            <v>61211391.270000003</v>
          </cell>
        </row>
        <row r="53">
          <cell r="D53">
            <v>496719.1</v>
          </cell>
          <cell r="F53">
            <v>128700</v>
          </cell>
        </row>
        <row r="60">
          <cell r="F60">
            <v>55000000</v>
          </cell>
        </row>
        <row r="64">
          <cell r="D64">
            <v>200000</v>
          </cell>
          <cell r="F64">
            <v>700000</v>
          </cell>
        </row>
        <row r="67">
          <cell r="D67">
            <v>67151202</v>
          </cell>
        </row>
        <row r="71">
          <cell r="F71">
            <v>400000</v>
          </cell>
        </row>
        <row r="76">
          <cell r="D76">
            <v>2269035.2000000002</v>
          </cell>
          <cell r="F76">
            <v>595019.06999999995</v>
          </cell>
        </row>
        <row r="84">
          <cell r="D84">
            <v>5122537.8527999604</v>
          </cell>
        </row>
        <row r="86">
          <cell r="D86">
            <v>7748475980.0200005</v>
          </cell>
          <cell r="F86">
            <v>1901013454.9000001</v>
          </cell>
        </row>
        <row r="87">
          <cell r="F87">
            <v>1901013454.9000001</v>
          </cell>
        </row>
        <row r="92">
          <cell r="F92">
            <v>21596236</v>
          </cell>
        </row>
        <row r="97">
          <cell r="F97">
            <v>33405</v>
          </cell>
        </row>
      </sheetData>
      <sheetData sheetId="8">
        <row r="7">
          <cell r="B7">
            <v>10394697</v>
          </cell>
          <cell r="C7">
            <v>19582300</v>
          </cell>
        </row>
        <row r="14">
          <cell r="B14">
            <v>143294.1</v>
          </cell>
          <cell r="C14">
            <v>128700</v>
          </cell>
        </row>
        <row r="19">
          <cell r="B19">
            <v>200000</v>
          </cell>
        </row>
        <row r="21">
          <cell r="A21" t="str">
            <v>Other Advances</v>
          </cell>
        </row>
        <row r="27">
          <cell r="B27">
            <v>640298.27</v>
          </cell>
        </row>
        <row r="29">
          <cell r="B29">
            <v>1191497</v>
          </cell>
        </row>
        <row r="35">
          <cell r="B35">
            <v>1077538.2</v>
          </cell>
          <cell r="C35">
            <v>362833.07</v>
          </cell>
        </row>
        <row r="42">
          <cell r="C42">
            <v>1908757475.0599999</v>
          </cell>
        </row>
        <row r="64">
          <cell r="B64">
            <v>248013.91</v>
          </cell>
          <cell r="C64">
            <v>161823.79999999999</v>
          </cell>
        </row>
        <row r="68">
          <cell r="B68">
            <v>2143275</v>
          </cell>
          <cell r="C68">
            <v>1663350</v>
          </cell>
        </row>
        <row r="81">
          <cell r="C81">
            <v>1901013454.9000001</v>
          </cell>
        </row>
        <row r="87">
          <cell r="C87">
            <v>7376</v>
          </cell>
        </row>
        <row r="89">
          <cell r="B89">
            <v>67151202</v>
          </cell>
        </row>
      </sheetData>
      <sheetData sheetId="9"/>
      <sheetData sheetId="10">
        <row r="49">
          <cell r="D49">
            <v>81984.545333333299</v>
          </cell>
        </row>
      </sheetData>
      <sheetData sheetId="11">
        <row r="13">
          <cell r="C13">
            <v>37797</v>
          </cell>
          <cell r="K13">
            <v>186369.4</v>
          </cell>
        </row>
      </sheetData>
      <sheetData sheetId="12"/>
      <sheetData sheetId="13">
        <row r="13">
          <cell r="C13">
            <v>1300000</v>
          </cell>
        </row>
        <row r="15">
          <cell r="C15">
            <v>3919309.89</v>
          </cell>
        </row>
        <row r="24">
          <cell r="B24">
            <v>60505</v>
          </cell>
        </row>
        <row r="25">
          <cell r="B25">
            <v>218867</v>
          </cell>
        </row>
        <row r="27">
          <cell r="C27">
            <v>61211391.270000003</v>
          </cell>
        </row>
        <row r="44">
          <cell r="B44">
            <v>21755000</v>
          </cell>
        </row>
        <row r="47">
          <cell r="B47">
            <v>4400000</v>
          </cell>
        </row>
        <row r="49">
          <cell r="B49">
            <v>400000</v>
          </cell>
        </row>
        <row r="51">
          <cell r="B51">
            <v>232194</v>
          </cell>
        </row>
        <row r="57">
          <cell r="B57">
            <v>500000</v>
          </cell>
        </row>
        <row r="58">
          <cell r="B58">
            <v>200000</v>
          </cell>
        </row>
        <row r="60">
          <cell r="B60">
            <v>55000000</v>
          </cell>
        </row>
        <row r="73">
          <cell r="C73">
            <v>151800</v>
          </cell>
        </row>
        <row r="106">
          <cell r="B106">
            <v>30000</v>
          </cell>
        </row>
        <row r="107">
          <cell r="B107">
            <v>168194</v>
          </cell>
        </row>
        <row r="108">
          <cell r="B108">
            <v>162300</v>
          </cell>
        </row>
        <row r="109">
          <cell r="B109">
            <v>1931676</v>
          </cell>
        </row>
        <row r="110">
          <cell r="B110">
            <v>7945</v>
          </cell>
        </row>
        <row r="111">
          <cell r="B111">
            <v>57538</v>
          </cell>
        </row>
        <row r="114">
          <cell r="B114">
            <v>100129</v>
          </cell>
        </row>
        <row r="115">
          <cell r="B115">
            <v>33405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topLeftCell="A76" zoomScale="106" zoomScaleNormal="106" workbookViewId="0">
      <selection activeCell="A91" sqref="A91"/>
    </sheetView>
  </sheetViews>
  <sheetFormatPr baseColWidth="8" defaultColWidth="9" defaultRowHeight="14.5"/>
  <cols>
    <col width="32.90625" customWidth="1" min="1" max="1"/>
    <col width="15.6328125" customWidth="1" min="2" max="2"/>
    <col width="15.08984375" customWidth="1" min="3" max="4"/>
    <col width="17.54296875" customWidth="1" min="5" max="5"/>
    <col width="16.08984375" customWidth="1" min="6" max="6"/>
    <col width="16.54296875" customWidth="1" min="8" max="8"/>
    <col width="19" customWidth="1" min="9" max="9"/>
    <col width="16.08984375" customWidth="1" min="10" max="10"/>
  </cols>
  <sheetData>
    <row r="1" ht="15.5" customHeight="1">
      <c r="A1" s="585" t="inlineStr">
        <is>
          <t>RAMSON &amp; GRANDSON JEWELLERS PVT. LTD. 1-4-20</t>
        </is>
      </c>
    </row>
    <row r="2">
      <c r="A2" s="586" t="inlineStr">
        <is>
          <t>CIN: U52393AP2011PTC072492</t>
        </is>
      </c>
      <c r="B2" s="306" t="n"/>
      <c r="C2" s="306" t="n"/>
    </row>
    <row r="3" ht="15.5" customHeight="1">
      <c r="A3" s="587" t="inlineStr">
        <is>
          <t>Trial Balance</t>
        </is>
      </c>
      <c r="B3" s="146" t="n"/>
      <c r="C3" s="146" t="n"/>
    </row>
    <row r="4">
      <c r="A4" s="588" t="inlineStr">
        <is>
          <t>1-Apr-21 to 31-Mar-22</t>
        </is>
      </c>
    </row>
    <row r="5">
      <c r="A5" s="541" t="inlineStr"/>
      <c r="B5" s="589" t="inlineStr">
        <is>
          <t>RAMSON &amp; GRANDSON JEWELLERS PVT. LTD. - (from 1-Apr-2019) - (from 1-Apr-20)</t>
        </is>
      </c>
      <c r="C5" s="146" t="n"/>
    </row>
    <row r="6">
      <c r="A6" s="542" t="inlineStr">
        <is>
          <t>Particulars</t>
        </is>
      </c>
      <c r="B6" s="581" t="inlineStr">
        <is>
          <t>1-Apr-21 to 31-Mar-22</t>
        </is>
      </c>
    </row>
    <row r="7">
      <c r="A7" s="542" t="inlineStr"/>
      <c r="B7" s="583" t="inlineStr">
        <is>
          <t>Closing Balance</t>
        </is>
      </c>
      <c r="C7" s="146" t="n"/>
    </row>
    <row r="8">
      <c r="A8" s="543" t="inlineStr"/>
      <c r="B8" s="544" t="inlineStr">
        <is>
          <t>Debit</t>
        </is>
      </c>
      <c r="C8" s="544" t="inlineStr">
        <is>
          <t>Credit</t>
        </is>
      </c>
    </row>
    <row r="9">
      <c r="A9" s="545" t="inlineStr">
        <is>
          <t>Capital Account</t>
        </is>
      </c>
      <c r="B9" s="546" t="n"/>
      <c r="C9" s="547" t="n"/>
    </row>
    <row r="10">
      <c r="A10" s="548" t="inlineStr">
        <is>
          <t>Share Capital A/c.</t>
        </is>
      </c>
      <c r="B10" s="558" t="n"/>
      <c r="C10" s="559" t="n"/>
    </row>
    <row r="11">
      <c r="A11" s="560" t="inlineStr">
        <is>
          <t>Share Capital A/c.</t>
        </is>
      </c>
      <c r="B11" s="549" t="n"/>
      <c r="C11" s="550" t="n"/>
    </row>
    <row r="12">
      <c r="A12" s="548" t="inlineStr">
        <is>
          <t>Reserves &amp; Surplus</t>
        </is>
      </c>
      <c r="B12" s="561" t="n"/>
      <c r="C12" s="562" t="n"/>
    </row>
    <row r="13">
      <c r="A13" s="560" t="inlineStr">
        <is>
          <t>Reserves and Surplus</t>
        </is>
      </c>
      <c r="B13" s="549" t="n"/>
      <c r="C13" s="550" t="n"/>
    </row>
    <row r="14">
      <c r="A14" s="560" t="inlineStr">
        <is>
          <t>Share Premium A/c.</t>
        </is>
      </c>
      <c r="B14" s="549" t="n"/>
      <c r="C14" s="550" t="n"/>
    </row>
    <row r="15">
      <c r="A15" s="545" t="inlineStr">
        <is>
          <t>Loans (Liability)</t>
        </is>
      </c>
      <c r="B15" s="551" t="n"/>
      <c r="C15" s="563" t="n"/>
    </row>
    <row r="16">
      <c r="A16" s="548" t="inlineStr">
        <is>
          <t>Unsecured Loans</t>
        </is>
      </c>
      <c r="B16" s="558" t="n"/>
      <c r="C16" s="559" t="n"/>
    </row>
    <row r="17">
      <c r="A17" s="564" t="inlineStr">
        <is>
          <t>G. Aruna</t>
        </is>
      </c>
      <c r="B17" s="549" t="n"/>
      <c r="C17" s="550" t="n"/>
    </row>
    <row r="18">
      <c r="A18" s="564" t="inlineStr">
        <is>
          <t>G. Krishna</t>
        </is>
      </c>
      <c r="B18" s="549" t="n"/>
      <c r="C18" s="550" t="n"/>
    </row>
    <row r="19">
      <c r="A19" s="560" t="inlineStr">
        <is>
          <t>G. Krupan Kumar</t>
        </is>
      </c>
      <c r="B19" s="549" t="n"/>
      <c r="C19" s="550" t="n"/>
    </row>
    <row r="20">
      <c r="A20" s="545" t="inlineStr">
        <is>
          <t>Current Liabilities</t>
        </is>
      </c>
      <c r="B20" s="552" t="n"/>
      <c r="C20" s="552" t="n"/>
    </row>
    <row r="21">
      <c r="A21" s="548" t="inlineStr">
        <is>
          <t>Duties &amp; Taxes</t>
        </is>
      </c>
      <c r="B21" s="565" t="n"/>
      <c r="C21" s="565" t="n"/>
    </row>
    <row r="22">
      <c r="A22" s="564" t="inlineStr">
        <is>
          <t>SGST @ 1.5%</t>
        </is>
      </c>
      <c r="B22" s="550" t="n"/>
      <c r="C22" s="549" t="n"/>
    </row>
    <row r="23">
      <c r="A23" s="490" t="inlineStr">
        <is>
          <t>TCS</t>
        </is>
      </c>
      <c r="B23" s="549" t="n"/>
      <c r="C23" s="550" t="n"/>
    </row>
    <row r="24">
      <c r="A24" s="564" t="inlineStr">
        <is>
          <t>TCS Input</t>
        </is>
      </c>
      <c r="B24" s="550" t="n"/>
      <c r="C24" s="549" t="n"/>
    </row>
    <row r="25">
      <c r="A25" s="564" t="inlineStr">
        <is>
          <t>TDS Creditors</t>
        </is>
      </c>
      <c r="B25" s="549" t="n"/>
      <c r="C25" s="550" t="n"/>
    </row>
    <row r="26">
      <c r="A26" s="564" t="inlineStr">
        <is>
          <t>TDS Debtors</t>
        </is>
      </c>
      <c r="B26" s="550" t="n"/>
      <c r="C26" s="549" t="n"/>
    </row>
    <row r="27">
      <c r="A27" s="548" t="inlineStr">
        <is>
          <t>Sundry Creditors</t>
        </is>
      </c>
      <c r="B27" s="550" t="n"/>
      <c r="C27" s="550" t="n"/>
    </row>
    <row r="28">
      <c r="A28" s="548" t="inlineStr">
        <is>
          <t>Other Current Liabilities</t>
        </is>
      </c>
      <c r="B28" s="561" t="n"/>
      <c r="C28" s="562" t="n"/>
    </row>
    <row r="29">
      <c r="A29" s="560" t="inlineStr">
        <is>
          <t>O.P. Bang &amp; Co.</t>
        </is>
      </c>
      <c r="B29" s="549" t="n"/>
      <c r="C29" s="550" t="n"/>
    </row>
    <row r="30">
      <c r="A30" s="545" t="inlineStr">
        <is>
          <t>Fixed Assets</t>
        </is>
      </c>
      <c r="B30" s="563" t="n"/>
      <c r="C30" s="551" t="n"/>
    </row>
    <row r="31">
      <c r="A31" s="548" t="inlineStr">
        <is>
          <t>Computers &amp; Data Processing Units</t>
        </is>
      </c>
      <c r="B31" s="550" t="n"/>
      <c r="C31" s="549" t="n"/>
    </row>
    <row r="32">
      <c r="A32" s="548" t="inlineStr">
        <is>
          <t>Office Equipment</t>
        </is>
      </c>
      <c r="B32" s="562" t="n"/>
      <c r="C32" s="561" t="n"/>
    </row>
    <row r="33">
      <c r="A33" s="564" t="inlineStr">
        <is>
          <t>Camara A/c.</t>
        </is>
      </c>
      <c r="B33" s="550" t="n"/>
      <c r="C33" s="549" t="n"/>
    </row>
    <row r="34">
      <c r="A34" s="560" t="inlineStr">
        <is>
          <t>Inverter Batteries</t>
        </is>
      </c>
      <c r="B34" s="550" t="n"/>
      <c r="C34" s="549" t="n"/>
    </row>
    <row r="35">
      <c r="A35" s="564" t="inlineStr">
        <is>
          <t>LED Lights</t>
        </is>
      </c>
      <c r="B35" s="550" t="n"/>
      <c r="C35" s="549" t="n"/>
    </row>
    <row r="36">
      <c r="A36" s="560" t="inlineStr">
        <is>
          <t>Printer (HP 120)</t>
        </is>
      </c>
      <c r="B36" s="550" t="n"/>
      <c r="C36" s="549" t="n"/>
    </row>
    <row r="37">
      <c r="A37" s="560" t="inlineStr">
        <is>
          <t>Samsung Phone</t>
        </is>
      </c>
      <c r="B37" s="550" t="n"/>
      <c r="C37" s="549" t="n"/>
    </row>
    <row r="38">
      <c r="A38" s="560" t="inlineStr">
        <is>
          <t>UV Disinfection Machine</t>
        </is>
      </c>
      <c r="B38" s="550" t="n"/>
      <c r="C38" s="549" t="n"/>
    </row>
    <row r="39">
      <c r="A39" s="548" t="inlineStr">
        <is>
          <t>Plant &amp; Machinery</t>
        </is>
      </c>
      <c r="B39" s="550" t="n"/>
      <c r="C39" s="549" t="n"/>
    </row>
    <row r="40">
      <c r="A40" s="553" t="inlineStr">
        <is>
          <t>Furniture</t>
        </is>
      </c>
      <c r="B40" s="556" t="n"/>
      <c r="C40" s="555" t="n"/>
    </row>
    <row r="41">
      <c r="A41" s="545" t="inlineStr">
        <is>
          <t>Current Assets</t>
        </is>
      </c>
      <c r="B41" s="552" t="n"/>
      <c r="C41" s="552" t="n"/>
    </row>
    <row r="42">
      <c r="A42" s="548" t="inlineStr">
        <is>
          <t>Opening Stock</t>
        </is>
      </c>
      <c r="B42" s="488" t="n"/>
      <c r="C42" s="549" t="n"/>
    </row>
    <row r="43">
      <c r="A43" s="548" t="inlineStr">
        <is>
          <t>Loans &amp; Advances (Asset)</t>
        </is>
      </c>
      <c r="B43" s="549" t="n"/>
      <c r="C43" s="549" t="n"/>
    </row>
    <row r="44">
      <c r="A44" s="548" t="inlineStr">
        <is>
          <t>Sundry Debtors</t>
        </is>
      </c>
      <c r="B44" s="550" t="n"/>
      <c r="C44" s="550" t="n"/>
    </row>
    <row r="45">
      <c r="A45" s="548" t="inlineStr">
        <is>
          <t>Cash-in-hand</t>
        </is>
      </c>
      <c r="B45" s="562" t="n"/>
      <c r="C45" s="561" t="n"/>
    </row>
    <row r="46">
      <c r="A46" s="490" t="inlineStr">
        <is>
          <t>Cash</t>
        </is>
      </c>
      <c r="B46" s="550" t="n"/>
      <c r="C46" s="549" t="n"/>
    </row>
    <row r="47">
      <c r="A47" s="548" t="inlineStr">
        <is>
          <t>Bank Accounts</t>
        </is>
      </c>
      <c r="B47" s="562" t="n"/>
      <c r="C47" s="561" t="n"/>
    </row>
    <row r="48">
      <c r="A48" s="564" t="inlineStr">
        <is>
          <t>Axis Bank A/c.</t>
        </is>
      </c>
      <c r="B48" s="550" t="n"/>
      <c r="C48" s="549" t="n"/>
    </row>
    <row r="49">
      <c r="A49" s="564" t="inlineStr">
        <is>
          <t>ICICI Bank</t>
        </is>
      </c>
      <c r="B49" s="550" t="n"/>
      <c r="C49" s="549" t="n"/>
    </row>
    <row r="50">
      <c r="A50" s="564" t="inlineStr">
        <is>
          <t>S.B.H. A/c.</t>
        </is>
      </c>
      <c r="B50" s="550" t="n"/>
      <c r="C50" s="549" t="n"/>
    </row>
    <row r="51">
      <c r="A51" s="566" t="inlineStr">
        <is>
          <t>Deposits</t>
        </is>
      </c>
      <c r="B51" s="549" t="n"/>
      <c r="C51" s="549" t="n"/>
    </row>
    <row r="52">
      <c r="A52" s="490" t="inlineStr">
        <is>
          <t>Deffered Tax Assets</t>
        </is>
      </c>
      <c r="B52" s="556" t="n"/>
      <c r="C52" s="555" t="n"/>
    </row>
    <row r="53">
      <c r="A53" s="490" t="inlineStr">
        <is>
          <t>Income Tax Refundable 20-21</t>
        </is>
      </c>
      <c r="B53" s="556" t="n"/>
      <c r="C53" s="555" t="n"/>
    </row>
    <row r="54">
      <c r="A54" s="545" t="inlineStr">
        <is>
          <t>Sales Accounts</t>
        </is>
      </c>
      <c r="B54" s="551" t="n"/>
      <c r="C54" s="563" t="n"/>
    </row>
    <row r="55">
      <c r="A55" s="490" t="inlineStr">
        <is>
          <t>Gold Ornament Sales IGST</t>
        </is>
      </c>
      <c r="B55" s="555" t="n"/>
      <c r="C55" s="556" t="n"/>
    </row>
    <row r="56">
      <c r="A56" s="490" t="inlineStr">
        <is>
          <t>Gold Ornaments Sales</t>
        </is>
      </c>
      <c r="B56" s="555" t="n"/>
      <c r="C56" s="556" t="n"/>
    </row>
    <row r="57">
      <c r="A57" s="490" t="inlineStr">
        <is>
          <t>Gold Pure Sales IGST</t>
        </is>
      </c>
      <c r="B57" s="555" t="n"/>
      <c r="C57" s="556" t="n"/>
    </row>
    <row r="58">
      <c r="A58" s="490" t="inlineStr">
        <is>
          <t>Pure Gold (Sale)</t>
        </is>
      </c>
      <c r="B58" s="555" t="n"/>
      <c r="C58" s="556" t="n"/>
    </row>
    <row r="59">
      <c r="A59" s="490" t="inlineStr">
        <is>
          <t>Pure Silver (Sale)</t>
        </is>
      </c>
      <c r="B59" s="555" t="n"/>
      <c r="C59" s="556" t="n"/>
    </row>
    <row r="60">
      <c r="A60" s="490" t="inlineStr">
        <is>
          <t>Sales Under Margin Scheme</t>
        </is>
      </c>
      <c r="B60" s="555" t="n"/>
      <c r="C60" s="556" t="n"/>
    </row>
    <row r="61">
      <c r="A61" s="490" t="inlineStr">
        <is>
          <t>Silver Articles</t>
        </is>
      </c>
      <c r="B61" s="555" t="n"/>
      <c r="C61" s="556" t="n"/>
    </row>
    <row r="62">
      <c r="A62" s="490" t="inlineStr">
        <is>
          <t>Silver Pure Sales IGST</t>
        </is>
      </c>
      <c r="B62" s="555" t="n"/>
      <c r="C62" s="556" t="n"/>
    </row>
    <row r="63">
      <c r="A63" s="545" t="inlineStr">
        <is>
          <t>Purchase Accounts</t>
        </is>
      </c>
      <c r="B63" s="563" t="n"/>
      <c r="C63" s="551" t="n"/>
    </row>
    <row r="64">
      <c r="A64" s="490" t="inlineStr">
        <is>
          <t>Gold Ornament Purchase Local</t>
        </is>
      </c>
      <c r="B64" s="556" t="n"/>
      <c r="C64" s="555" t="n"/>
    </row>
    <row r="65">
      <c r="A65" s="490" t="inlineStr">
        <is>
          <t>Packing Material</t>
        </is>
      </c>
      <c r="B65" s="556" t="n"/>
      <c r="C65" s="555" t="n"/>
    </row>
    <row r="66">
      <c r="A66" s="490" t="inlineStr">
        <is>
          <t>Pure Gold Purchase IGST</t>
        </is>
      </c>
      <c r="B66" s="556" t="n"/>
      <c r="C66" s="555" t="n"/>
    </row>
    <row r="67">
      <c r="A67" s="490" t="inlineStr">
        <is>
          <t>Pure Gold Purchase Local</t>
        </is>
      </c>
      <c r="B67" s="556" t="n"/>
      <c r="C67" s="555" t="n"/>
    </row>
    <row r="68">
      <c r="A68" s="490" t="inlineStr">
        <is>
          <t>Pure Silver Purchase</t>
        </is>
      </c>
      <c r="B68" s="556" t="n"/>
      <c r="C68" s="555" t="n"/>
    </row>
    <row r="69">
      <c r="A69" s="545" t="inlineStr">
        <is>
          <t>Indirect Expenses</t>
        </is>
      </c>
      <c r="B69" s="552" t="n"/>
      <c r="C69" s="552" t="n"/>
    </row>
    <row r="70">
      <c r="A70" s="548" t="inlineStr">
        <is>
          <t>Employee Benefit Expenses</t>
        </is>
      </c>
      <c r="B70" s="559" t="n"/>
      <c r="C70" s="558" t="n"/>
    </row>
    <row r="71">
      <c r="A71" s="567" t="inlineStr">
        <is>
          <t>Salaries Exp.</t>
        </is>
      </c>
      <c r="B71" s="568" t="n"/>
      <c r="C71" s="569" t="n"/>
    </row>
    <row r="72">
      <c r="A72" s="570" t="inlineStr">
        <is>
          <t>Employee Salaries</t>
        </is>
      </c>
      <c r="B72" s="556" t="n"/>
      <c r="C72" s="555" t="n"/>
    </row>
    <row r="73">
      <c r="A73" s="560" t="inlineStr">
        <is>
          <t>Salaries A/c. (Directors)</t>
        </is>
      </c>
      <c r="B73" s="550" t="n"/>
      <c r="C73" s="549" t="n"/>
    </row>
    <row r="74">
      <c r="A74" s="548" t="inlineStr">
        <is>
          <t>Other Expenses</t>
        </is>
      </c>
      <c r="B74" s="562" t="n"/>
      <c r="C74" s="571" t="n"/>
    </row>
    <row r="75">
      <c r="A75" s="572" t="inlineStr">
        <is>
          <t>General Expenses</t>
        </is>
      </c>
      <c r="B75" s="568" t="n"/>
      <c r="C75" s="568" t="n"/>
    </row>
    <row r="76">
      <c r="A76" s="573" t="inlineStr">
        <is>
          <t>Bank Charges &amp; Commission</t>
        </is>
      </c>
      <c r="B76" s="556" t="n"/>
      <c r="C76" s="574" t="n"/>
    </row>
    <row r="77">
      <c r="A77" s="570" t="inlineStr">
        <is>
          <t>Computer Expenses</t>
        </is>
      </c>
      <c r="B77" s="556" t="n"/>
      <c r="C77" s="574" t="n"/>
    </row>
    <row r="78">
      <c r="A78" s="570" t="inlineStr">
        <is>
          <t>Internet Expenses</t>
        </is>
      </c>
      <c r="B78" s="556" t="n"/>
      <c r="C78" s="574" t="n"/>
    </row>
    <row r="79">
      <c r="A79" s="560" t="inlineStr">
        <is>
          <t>Round Off</t>
        </is>
      </c>
      <c r="B79" s="574" t="n"/>
      <c r="C79" s="556" t="n"/>
    </row>
    <row r="80">
      <c r="A80" s="570" t="inlineStr">
        <is>
          <t>Tally  Renewal Fees</t>
        </is>
      </c>
      <c r="B80" s="556" t="n"/>
      <c r="C80" s="574" t="n"/>
    </row>
    <row r="81">
      <c r="A81" s="570" t="inlineStr">
        <is>
          <t>Water Expenses</t>
        </is>
      </c>
      <c r="B81" s="556" t="n"/>
      <c r="C81" s="574" t="n"/>
    </row>
    <row r="82">
      <c r="A82" s="572" t="inlineStr">
        <is>
          <t>Rates and Taxes Expenses</t>
        </is>
      </c>
      <c r="B82" s="575" t="n"/>
      <c r="C82" s="576" t="n"/>
    </row>
    <row r="83">
      <c r="A83" s="560" t="inlineStr">
        <is>
          <t>Property Tax</t>
        </is>
      </c>
      <c r="B83" s="556" t="n"/>
      <c r="C83" s="555" t="n"/>
    </row>
    <row r="84">
      <c r="A84" s="560" t="inlineStr">
        <is>
          <t>Electricity Expenses</t>
        </is>
      </c>
      <c r="B84" s="550" t="n"/>
      <c r="C84" s="549" t="n"/>
    </row>
    <row r="85">
      <c r="A85" s="560" t="inlineStr">
        <is>
          <t>Telephone Expenses</t>
        </is>
      </c>
      <c r="B85" s="550" t="n"/>
      <c r="C85" s="549" t="n"/>
    </row>
    <row r="86">
      <c r="A86" s="490" t="inlineStr">
        <is>
          <t>Chirayu Software</t>
        </is>
      </c>
      <c r="B86" s="556" t="n"/>
      <c r="C86" s="555" t="n"/>
    </row>
    <row r="87">
      <c r="A87" s="490" t="inlineStr">
        <is>
          <t>C S R Expences</t>
        </is>
      </c>
      <c r="B87" s="556" t="n"/>
      <c r="C87" s="555" t="n"/>
    </row>
    <row r="88">
      <c r="A88" s="490" t="inlineStr">
        <is>
          <t>Income Tax</t>
        </is>
      </c>
      <c r="B88" s="556" t="n"/>
      <c r="C88" s="555" t="n"/>
    </row>
    <row r="89">
      <c r="A89" s="490" t="inlineStr">
        <is>
          <t>Interest on TCS</t>
        </is>
      </c>
      <c r="B89" s="556" t="n"/>
      <c r="C89" s="555" t="n"/>
    </row>
    <row r="90">
      <c r="A90" s="490" t="inlineStr">
        <is>
          <t>Miscelenious Expenses</t>
        </is>
      </c>
      <c r="B90" s="556" t="n"/>
      <c r="C90" s="555" t="n"/>
    </row>
    <row r="91">
      <c r="A91" s="557" t="inlineStr">
        <is>
          <t>Grand Total</t>
        </is>
      </c>
      <c r="B91" s="547" t="n"/>
      <c r="C91" s="547" t="n"/>
    </row>
  </sheetData>
  <mergeCells count="7">
    <mergeCell ref="B6:C6"/>
    <mergeCell ref="B7:C7"/>
    <mergeCell ref="A1:C1"/>
    <mergeCell ref="B5:C5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16" workbookViewId="0">
      <selection activeCell="A40" sqref="A40"/>
    </sheetView>
  </sheetViews>
  <sheetFormatPr baseColWidth="8" defaultColWidth="8.90625" defaultRowHeight="14.5"/>
  <cols>
    <col width="37.54296875" customWidth="1" min="1" max="1"/>
    <col width="14.08984375" customWidth="1" min="2" max="3"/>
  </cols>
  <sheetData>
    <row r="1" ht="15.5" customHeight="1">
      <c r="A1" s="585" t="inlineStr">
        <is>
          <t>RAMSON &amp; GRANDSON JEWELLERS PVT. LTD.</t>
        </is>
      </c>
    </row>
    <row r="2">
      <c r="A2" s="586" t="inlineStr">
        <is>
          <t>CIN: U52393AP2011PTC072492</t>
        </is>
      </c>
      <c r="B2" s="306" t="n"/>
      <c r="C2" s="306" t="n"/>
    </row>
    <row r="3" ht="15.5" customHeight="1">
      <c r="A3" s="587" t="inlineStr">
        <is>
          <t>Trial Balance</t>
        </is>
      </c>
      <c r="B3" s="146" t="n"/>
      <c r="C3" s="146" t="n"/>
    </row>
    <row r="4">
      <c r="A4" s="588" t="inlineStr">
        <is>
          <t>1-Apr-22 to 31-Mar-23</t>
        </is>
      </c>
    </row>
    <row r="5">
      <c r="A5" s="541" t="inlineStr"/>
      <c r="B5" s="589" t="inlineStr">
        <is>
          <t>RAMSON &amp; GRANDSON JEWELLERS PVT. LTD. - (from 1-4-22)</t>
        </is>
      </c>
      <c r="C5" s="146" t="n"/>
    </row>
    <row r="6">
      <c r="A6" s="542" t="inlineStr">
        <is>
          <t>Particulars</t>
        </is>
      </c>
      <c r="B6" s="581" t="inlineStr">
        <is>
          <t>1-Apr-22 to 31-Mar-23</t>
        </is>
      </c>
    </row>
    <row r="7">
      <c r="A7" s="542" t="inlineStr"/>
      <c r="B7" s="583" t="inlineStr">
        <is>
          <t>Closing Balance</t>
        </is>
      </c>
      <c r="C7" s="146" t="n"/>
    </row>
    <row r="8">
      <c r="A8" s="543" t="inlineStr"/>
      <c r="B8" s="544" t="inlineStr">
        <is>
          <t>Debit</t>
        </is>
      </c>
      <c r="C8" s="544" t="inlineStr">
        <is>
          <t>Credit</t>
        </is>
      </c>
    </row>
    <row r="9">
      <c r="A9" s="545" t="inlineStr">
        <is>
          <t>Capital Account</t>
        </is>
      </c>
      <c r="B9" s="546" t="n"/>
      <c r="C9" s="547" t="n"/>
    </row>
    <row r="10">
      <c r="A10" s="548" t="inlineStr">
        <is>
          <t>Share Capital A/c.</t>
        </is>
      </c>
      <c r="B10" s="549" t="n"/>
      <c r="C10" s="550" t="n"/>
    </row>
    <row r="11">
      <c r="A11" s="548" t="inlineStr">
        <is>
          <t>Reserves &amp; Surplus</t>
        </is>
      </c>
      <c r="B11" s="549" t="n"/>
      <c r="C11" s="550" t="n"/>
    </row>
    <row r="12">
      <c r="A12" s="545" t="inlineStr">
        <is>
          <t>Loans (Liability)</t>
        </is>
      </c>
      <c r="B12" s="551" t="n"/>
      <c r="C12" s="552" t="n"/>
    </row>
    <row r="13">
      <c r="A13" s="548" t="inlineStr">
        <is>
          <t>Unsecured Loans</t>
        </is>
      </c>
      <c r="B13" s="549" t="n"/>
      <c r="C13" s="550" t="n"/>
    </row>
    <row r="14">
      <c r="A14" s="545" t="inlineStr">
        <is>
          <t>Current Liabilities</t>
        </is>
      </c>
      <c r="B14" s="552" t="n"/>
      <c r="C14" s="552" t="n"/>
    </row>
    <row r="15">
      <c r="A15" s="548" t="inlineStr">
        <is>
          <t>Duties &amp; Taxes</t>
        </is>
      </c>
      <c r="B15" s="550" t="n"/>
      <c r="C15" s="550" t="n"/>
    </row>
    <row r="16">
      <c r="A16" s="548" t="inlineStr">
        <is>
          <t>Sundry Creditors</t>
        </is>
      </c>
      <c r="B16" s="550" t="n"/>
      <c r="C16" s="550" t="n"/>
    </row>
    <row r="17">
      <c r="A17" s="548" t="inlineStr">
        <is>
          <t>Other Current Liabilities</t>
        </is>
      </c>
      <c r="B17" s="549" t="n"/>
      <c r="C17" s="550" t="n"/>
    </row>
    <row r="18">
      <c r="A18" s="545" t="inlineStr">
        <is>
          <t>Fixed Assets</t>
        </is>
      </c>
      <c r="B18" s="552" t="n"/>
      <c r="C18" s="551" t="n"/>
    </row>
    <row r="19">
      <c r="A19" s="548" t="inlineStr">
        <is>
          <t>Computers &amp; Data Processing Units</t>
        </is>
      </c>
      <c r="B19" s="488" t="n"/>
      <c r="C19" s="549" t="n"/>
    </row>
    <row r="20">
      <c r="A20" s="548" t="inlineStr">
        <is>
          <t>Office Equipment</t>
        </is>
      </c>
      <c r="B20" s="488" t="n"/>
      <c r="C20" s="549" t="n"/>
    </row>
    <row r="21">
      <c r="A21" s="548" t="inlineStr">
        <is>
          <t>Plant &amp; Machinery</t>
        </is>
      </c>
      <c r="B21" s="488" t="n"/>
      <c r="C21" s="549" t="n"/>
    </row>
    <row r="22">
      <c r="A22" s="553" t="inlineStr">
        <is>
          <t>Furniture</t>
        </is>
      </c>
      <c r="B22" s="554" t="n"/>
      <c r="C22" s="555" t="n"/>
    </row>
    <row r="23">
      <c r="A23" s="545" t="inlineStr">
        <is>
          <t>Current Assets</t>
        </is>
      </c>
      <c r="B23" s="552" t="n"/>
      <c r="C23" s="552" t="n"/>
    </row>
    <row r="24">
      <c r="A24" s="548" t="inlineStr">
        <is>
          <t>Opening Stock</t>
        </is>
      </c>
      <c r="B24" s="550" t="n"/>
      <c r="C24" s="549" t="n"/>
    </row>
    <row r="25">
      <c r="A25" s="548" t="inlineStr">
        <is>
          <t>Sundry Debtors</t>
        </is>
      </c>
      <c r="B25" s="550" t="n"/>
      <c r="C25" s="550" t="n"/>
    </row>
    <row r="26">
      <c r="A26" s="548" t="inlineStr">
        <is>
          <t>Cash-in-hand</t>
        </is>
      </c>
      <c r="B26" s="550" t="n"/>
      <c r="C26" s="549" t="n"/>
    </row>
    <row r="27">
      <c r="A27" s="548" t="inlineStr">
        <is>
          <t>Bank Accounts</t>
        </is>
      </c>
      <c r="B27" s="550" t="n"/>
      <c r="C27" s="549" t="n"/>
    </row>
    <row r="28">
      <c r="A28" s="490" t="inlineStr">
        <is>
          <t>Deffered Tax Assets</t>
        </is>
      </c>
      <c r="B28" s="556" t="n"/>
      <c r="C28" s="555" t="n"/>
    </row>
    <row r="29">
      <c r="A29" s="490" t="inlineStr">
        <is>
          <t>Income Tax Refundable 20-21</t>
        </is>
      </c>
      <c r="B29" s="555" t="n"/>
      <c r="C29" s="556" t="n"/>
    </row>
    <row r="30">
      <c r="A30" s="490" t="inlineStr">
        <is>
          <t>Income Tax Refundable 21-22</t>
        </is>
      </c>
      <c r="B30" s="556" t="n"/>
      <c r="C30" s="555" t="n"/>
    </row>
    <row r="31">
      <c r="A31" s="545" t="inlineStr">
        <is>
          <t>Sales Accounts</t>
        </is>
      </c>
      <c r="B31" s="551" t="n"/>
      <c r="C31" s="552" t="n"/>
    </row>
    <row r="32">
      <c r="A32" s="490" t="inlineStr">
        <is>
          <t>Gold Ornament Sales IGST</t>
        </is>
      </c>
      <c r="B32" s="555" t="n"/>
      <c r="C32" s="556" t="n"/>
    </row>
    <row r="33">
      <c r="A33" s="490" t="inlineStr">
        <is>
          <t>Gold Ornaments Sales</t>
        </is>
      </c>
      <c r="B33" s="555" t="n"/>
      <c r="C33" s="556" t="n"/>
    </row>
    <row r="34">
      <c r="A34" s="490" t="inlineStr">
        <is>
          <t>Gold Pure Sales IGST</t>
        </is>
      </c>
      <c r="B34" s="555" t="n"/>
      <c r="C34" s="556" t="n"/>
    </row>
    <row r="35">
      <c r="A35" s="490" t="inlineStr">
        <is>
          <t>Pure Gold (Sale)</t>
        </is>
      </c>
      <c r="B35" s="555" t="n"/>
      <c r="C35" s="556" t="n"/>
    </row>
    <row r="36">
      <c r="A36" s="490" t="inlineStr">
        <is>
          <t>Pure Silver (Sale)</t>
        </is>
      </c>
      <c r="B36" s="555" t="n"/>
      <c r="C36" s="556" t="n"/>
    </row>
    <row r="37">
      <c r="A37" s="490" t="inlineStr">
        <is>
          <t>Sales Under Margin Scheme</t>
        </is>
      </c>
      <c r="B37" s="555" t="n"/>
      <c r="C37" s="556" t="n"/>
    </row>
    <row r="38">
      <c r="A38" s="490" t="inlineStr">
        <is>
          <t>Silver Articles</t>
        </is>
      </c>
      <c r="B38" s="555" t="n"/>
      <c r="C38" s="556" t="n"/>
    </row>
    <row r="39">
      <c r="A39" s="490" t="inlineStr">
        <is>
          <t>Silver Pure Sales IGST</t>
        </is>
      </c>
      <c r="B39" s="555" t="n"/>
      <c r="C39" s="556" t="n"/>
    </row>
    <row r="40">
      <c r="A40" s="545" t="inlineStr">
        <is>
          <t>Purchase Accounts</t>
        </is>
      </c>
      <c r="B40" s="552" t="n"/>
      <c r="C40" s="551" t="n"/>
    </row>
    <row r="41">
      <c r="A41" s="490" t="inlineStr">
        <is>
          <t>Gold Ornament Purchase Local</t>
        </is>
      </c>
      <c r="B41" s="556" t="n"/>
      <c r="C41" s="555" t="n"/>
    </row>
    <row r="42">
      <c r="A42" s="490" t="inlineStr">
        <is>
          <t>Pure Gold Purchase IGST</t>
        </is>
      </c>
      <c r="B42" s="556" t="n"/>
      <c r="C42" s="555" t="n"/>
    </row>
    <row r="43">
      <c r="A43" s="490" t="inlineStr">
        <is>
          <t>Pure Gold Purchase Local</t>
        </is>
      </c>
      <c r="B43" s="556" t="n"/>
      <c r="C43" s="555" t="n"/>
    </row>
    <row r="44">
      <c r="A44" s="490" t="inlineStr">
        <is>
          <t>Pure Silver Purchase</t>
        </is>
      </c>
      <c r="B44" s="556" t="n"/>
      <c r="C44" s="555" t="n"/>
    </row>
    <row r="45">
      <c r="A45" s="545" t="inlineStr">
        <is>
          <t>Indirect Incomes</t>
        </is>
      </c>
      <c r="B45" s="551" t="n"/>
      <c r="C45" s="552" t="n"/>
    </row>
    <row r="46">
      <c r="A46" s="490" t="inlineStr">
        <is>
          <t>Discount Recd. A/c.</t>
        </is>
      </c>
      <c r="B46" s="555" t="n"/>
      <c r="C46" s="556" t="n"/>
    </row>
    <row r="47">
      <c r="A47" s="490" t="inlineStr">
        <is>
          <t>Interest on IT Refund</t>
        </is>
      </c>
      <c r="B47" s="555" t="n"/>
      <c r="C47" s="556" t="n"/>
    </row>
    <row r="48">
      <c r="A48" s="545" t="inlineStr">
        <is>
          <t>Indirect Expenses</t>
        </is>
      </c>
      <c r="B48" s="552" t="n"/>
      <c r="C48" s="552" t="n"/>
    </row>
    <row r="49">
      <c r="A49" s="548" t="inlineStr">
        <is>
          <t>Employee Benefit Expenses</t>
        </is>
      </c>
      <c r="B49" s="550" t="n"/>
      <c r="C49" s="549" t="n"/>
    </row>
    <row r="50">
      <c r="A50" s="548" t="inlineStr">
        <is>
          <t>Other Expenses</t>
        </is>
      </c>
      <c r="B50" s="550" t="n"/>
      <c r="C50" s="488">
        <f>26.89+4</f>
        <v/>
      </c>
    </row>
    <row r="51">
      <c r="A51" s="490" t="inlineStr">
        <is>
          <t>Chirayu Software</t>
        </is>
      </c>
      <c r="B51" s="556" t="n"/>
      <c r="C51" s="555" t="n"/>
    </row>
    <row r="52">
      <c r="A52" s="490" t="inlineStr">
        <is>
          <t>C S R Expences</t>
        </is>
      </c>
      <c r="B52" s="554" t="n"/>
      <c r="C52" s="555" t="n"/>
    </row>
    <row r="53">
      <c r="A53" s="490" t="inlineStr">
        <is>
          <t>Depreciation</t>
        </is>
      </c>
      <c r="B53" s="555" t="n"/>
      <c r="C53" s="554" t="n"/>
    </row>
    <row r="54">
      <c r="A54" s="490" t="inlineStr">
        <is>
          <t>Discount Allowed</t>
        </is>
      </c>
      <c r="B54" s="556" t="n"/>
      <c r="C54" s="555" t="n"/>
    </row>
    <row r="55">
      <c r="A55" s="490" t="inlineStr">
        <is>
          <t>Interest on TDS and TCS</t>
        </is>
      </c>
      <c r="B55" s="556" t="n"/>
      <c r="C55" s="555" t="n"/>
    </row>
    <row r="56">
      <c r="A56" s="490" t="inlineStr">
        <is>
          <t>Miscelenious Expenses</t>
        </is>
      </c>
      <c r="B56" s="556" t="n"/>
      <c r="C56" s="555" t="n"/>
    </row>
    <row r="57">
      <c r="A57" s="490" t="inlineStr">
        <is>
          <t>Sales Permotion Exp.</t>
        </is>
      </c>
      <c r="B57" s="556" t="n"/>
      <c r="C57" s="555" t="n"/>
    </row>
    <row r="58">
      <c r="A58" s="490" t="inlineStr">
        <is>
          <t>Software Expenses</t>
        </is>
      </c>
      <c r="B58" s="556" t="n"/>
      <c r="C58" s="555" t="n"/>
    </row>
    <row r="59">
      <c r="A59" s="489" t="inlineStr">
        <is>
          <t>Profit &amp; Loss A/c</t>
        </is>
      </c>
      <c r="B59" s="549" t="n"/>
      <c r="C59" s="550" t="n"/>
    </row>
    <row r="60">
      <c r="A60" s="557" t="inlineStr">
        <is>
          <t>Grand Total</t>
        </is>
      </c>
      <c r="B60" s="547" t="n"/>
      <c r="C60" s="547" t="n"/>
    </row>
  </sheetData>
  <mergeCells count="7">
    <mergeCell ref="B6:C6"/>
    <mergeCell ref="B7:C7"/>
    <mergeCell ref="A1:C1"/>
    <mergeCell ref="B5:C5"/>
    <mergeCell ref="A3:C3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J9" sqref="J9"/>
    </sheetView>
  </sheetViews>
  <sheetFormatPr baseColWidth="8" defaultColWidth="9" defaultRowHeight="14.5"/>
  <cols>
    <col width="17.1796875" customWidth="1" min="1" max="1"/>
    <col width="11.90625" customWidth="1" min="2" max="2"/>
    <col width="14.54296875" customWidth="1" min="3" max="3"/>
    <col width="11.81640625" customWidth="1" min="4" max="4"/>
    <col width="11.6328125" customWidth="1" min="5" max="5"/>
    <col hidden="1" width="11.36328125" customWidth="1" min="6" max="6"/>
    <col width="9.453125" customWidth="1" min="7" max="7"/>
    <col width="17.6328125" customWidth="1" min="8" max="8"/>
  </cols>
  <sheetData>
    <row r="1"/>
    <row r="2">
      <c r="A2" s="523" t="inlineStr">
        <is>
          <t>26.  Following are the Analytical ratios for the year ended March 31, 2023 and March 31, 2022</t>
        </is>
      </c>
      <c r="B2" s="135" t="n"/>
      <c r="C2" s="135" t="n"/>
      <c r="D2" s="135" t="n"/>
      <c r="E2" s="135" t="n"/>
      <c r="F2" s="135" t="n"/>
      <c r="G2" s="135" t="n"/>
      <c r="H2" s="511" t="n"/>
    </row>
    <row r="3" ht="58" customHeight="1">
      <c r="A3" s="264" t="inlineStr">
        <is>
          <t>Ratio</t>
        </is>
      </c>
      <c r="B3" s="524" t="inlineStr">
        <is>
          <t>Numerator</t>
        </is>
      </c>
      <c r="C3" s="525" t="inlineStr">
        <is>
          <t>Denominator</t>
        </is>
      </c>
      <c r="D3" s="265" t="inlineStr">
        <is>
          <t>As at 31-03-2023</t>
        </is>
      </c>
      <c r="E3" s="265" t="inlineStr">
        <is>
          <t>As at 31-03-2022</t>
        </is>
      </c>
      <c r="F3" s="526" t="inlineStr">
        <is>
          <t>As at 31-03-2021</t>
        </is>
      </c>
      <c r="G3" s="527" t="inlineStr">
        <is>
          <t>Variation %</t>
        </is>
      </c>
      <c r="H3" s="266" t="inlineStr">
        <is>
          <t>Reason for Variation ( if change is more than25%</t>
        </is>
      </c>
    </row>
    <row r="4">
      <c r="A4" s="513" t="inlineStr">
        <is>
          <t>Current ratio (Times)</t>
        </is>
      </c>
      <c r="B4" s="513" t="inlineStr">
        <is>
          <t>current assets</t>
        </is>
      </c>
      <c r="C4" s="513" t="inlineStr">
        <is>
          <t>current Laibilities</t>
        </is>
      </c>
      <c r="D4" s="629">
        <f>(BS!C23+BS!C24+BS!C25+BS!C26)/(BS!C12+BS!C13)</f>
        <v/>
      </c>
      <c r="E4" s="629">
        <f>(BS!D23+BS!D24+BS!D25+BS!D26)/(BS!D12+BS!D13)</f>
        <v/>
      </c>
      <c r="F4" s="629">
        <f>(BS!E23+BS!E24+BS!E25+BS!E26)/(BS!E12+BS!E13)</f>
        <v/>
      </c>
      <c r="G4" s="629">
        <f>E4-D4</f>
        <v/>
      </c>
      <c r="H4" s="513" t="inlineStr">
        <is>
          <t>Variation &lt; than 25%</t>
        </is>
      </c>
      <c r="L4">
        <f>E4-F4</f>
        <v/>
      </c>
    </row>
    <row r="5" ht="29" customHeight="1">
      <c r="A5" s="355" t="inlineStr">
        <is>
          <t>Debt equity ratio (Times)</t>
        </is>
      </c>
      <c r="B5" s="513" t="inlineStr">
        <is>
          <t>Total debts</t>
        </is>
      </c>
      <c r="C5" s="355" t="inlineStr">
        <is>
          <t>Shareholders Equity</t>
        </is>
      </c>
      <c r="D5" s="629">
        <f>BS!C10/(BS!C7+BS!C8)</f>
        <v/>
      </c>
      <c r="E5" s="629">
        <f>BS!D10/(BS!D7+BS!D8)</f>
        <v/>
      </c>
      <c r="F5" s="629">
        <f>BS!E10/(BS!E7+BS!E8)</f>
        <v/>
      </c>
      <c r="G5" s="629">
        <f>E5-D5</f>
        <v/>
      </c>
      <c r="H5" s="513" t="n"/>
      <c r="L5">
        <f>E5-F5</f>
        <v/>
      </c>
    </row>
    <row r="6" ht="43.5" customHeight="1">
      <c r="A6" s="529" t="inlineStr">
        <is>
          <t>Debt service covberage ratio           ( Times)</t>
        </is>
      </c>
      <c r="B6" s="529" t="inlineStr">
        <is>
          <t>Earning available for debt service</t>
        </is>
      </c>
      <c r="C6" s="496" t="inlineStr">
        <is>
          <t>Debt service</t>
        </is>
      </c>
      <c r="D6" s="630" t="inlineStr">
        <is>
          <t>NA</t>
        </is>
      </c>
      <c r="E6" s="630" t="inlineStr">
        <is>
          <t>NA</t>
        </is>
      </c>
      <c r="F6" s="631">
        <f>'P&amp;L'!E20/'P&amp;L'!E16</f>
        <v/>
      </c>
      <c r="G6" s="629" t="n"/>
      <c r="H6" s="532" t="inlineStr">
        <is>
          <t>NA</t>
        </is>
      </c>
      <c r="L6">
        <f>E6-F6</f>
        <v/>
      </c>
    </row>
    <row r="7" ht="43.5" customHeight="1">
      <c r="A7" s="355" t="inlineStr">
        <is>
          <t>Return on equity ratio %</t>
        </is>
      </c>
      <c r="B7" s="355" t="inlineStr">
        <is>
          <t>profit for the year after tax</t>
        </is>
      </c>
      <c r="C7" s="355" t="inlineStr">
        <is>
          <t>Average shareholders equity</t>
        </is>
      </c>
      <c r="D7" s="629">
        <f>'P&amp;L'!C24/BS!C7</f>
        <v/>
      </c>
      <c r="E7" s="629">
        <f>'P&amp;L'!D24/BS!D7</f>
        <v/>
      </c>
      <c r="F7" s="629">
        <f>'P&amp;L'!E24/BS!E7</f>
        <v/>
      </c>
      <c r="G7" s="629">
        <f>E7-D7</f>
        <v/>
      </c>
      <c r="H7" s="513" t="inlineStr">
        <is>
          <t>Variation &lt; than 25%</t>
        </is>
      </c>
      <c r="L7">
        <f>E7-F7</f>
        <v/>
      </c>
    </row>
    <row r="8" ht="29" customHeight="1">
      <c r="A8" s="355" t="inlineStr">
        <is>
          <t>Inventory turnover ratio</t>
        </is>
      </c>
      <c r="B8" s="355" t="inlineStr">
        <is>
          <t>Cost of goods sold</t>
        </is>
      </c>
      <c r="C8" s="355" t="inlineStr">
        <is>
          <t>Average Inventory</t>
        </is>
      </c>
      <c r="D8" s="629">
        <f>('P&amp;L'!C10+'P&amp;L'!C11+'P&amp;L'!C13)/BS!J23</f>
        <v/>
      </c>
      <c r="E8" s="629">
        <f>('P&amp;L'!D10+'P&amp;L'!D11+'P&amp;L'!D13)/BS!K23</f>
        <v/>
      </c>
      <c r="F8" s="629">
        <f>('P&amp;L'!E10+'P&amp;L'!E11+'P&amp;L'!E13)/BS!L23</f>
        <v/>
      </c>
      <c r="G8" s="629">
        <f>E8-D8</f>
        <v/>
      </c>
      <c r="H8" s="355" t="inlineStr">
        <is>
          <t>due to increase in average inventoruy</t>
        </is>
      </c>
      <c r="L8">
        <f>E8-F8</f>
        <v/>
      </c>
    </row>
    <row r="9" ht="43.5" customHeight="1">
      <c r="A9" s="355" t="inlineStr">
        <is>
          <t>Trade receivables turnover ratio</t>
        </is>
      </c>
      <c r="B9" s="355" t="inlineStr">
        <is>
          <t>Revanue from operation</t>
        </is>
      </c>
      <c r="C9" s="529" t="inlineStr">
        <is>
          <t>Average trade receivable</t>
        </is>
      </c>
      <c r="D9" s="629">
        <f>'P&amp;L'!C5/BS!J24</f>
        <v/>
      </c>
      <c r="E9" s="629">
        <f>'P&amp;L'!D5/BS!K24</f>
        <v/>
      </c>
      <c r="F9" s="629">
        <f>'P&amp;L'!E5/BS!L24</f>
        <v/>
      </c>
      <c r="G9" s="629">
        <f>E9-D9</f>
        <v/>
      </c>
      <c r="H9" s="355" t="inlineStr">
        <is>
          <t>increase in average trade receivables</t>
        </is>
      </c>
      <c r="L9">
        <f>E9-F9</f>
        <v/>
      </c>
    </row>
    <row r="10" ht="43.5" customHeight="1">
      <c r="A10" s="355" t="inlineStr">
        <is>
          <t>Trade payable turnover ratio</t>
        </is>
      </c>
      <c r="B10" s="355" t="inlineStr">
        <is>
          <t>Revanue from operation</t>
        </is>
      </c>
      <c r="C10" s="355" t="inlineStr">
        <is>
          <t>Average trade payable</t>
        </is>
      </c>
      <c r="D10" s="629">
        <f>'P&amp;L'!C5/BS!J12</f>
        <v/>
      </c>
      <c r="E10" s="629">
        <f>'P&amp;L'!D5/BS!K12</f>
        <v/>
      </c>
      <c r="F10" s="629">
        <f>'P&amp;L'!E5/BS!L12</f>
        <v/>
      </c>
      <c r="G10" s="629">
        <f>E10-D10</f>
        <v/>
      </c>
      <c r="H10" s="355" t="inlineStr">
        <is>
          <t>incease in average payable</t>
        </is>
      </c>
      <c r="L10">
        <f>E10-F10</f>
        <v/>
      </c>
    </row>
    <row r="11" ht="43.5" customHeight="1">
      <c r="A11" s="529" t="inlineStr">
        <is>
          <t>Net capital turnover ratio</t>
        </is>
      </c>
      <c r="B11" s="529" t="inlineStr">
        <is>
          <t>revanue from operation</t>
        </is>
      </c>
      <c r="C11" s="529" t="inlineStr">
        <is>
          <t>average working capital</t>
        </is>
      </c>
      <c r="D11" s="631">
        <f>'P&amp;L'!C5/BS!K28</f>
        <v/>
      </c>
      <c r="E11" s="631">
        <f>'P&amp;L'!D5/BS!L28</f>
        <v/>
      </c>
      <c r="F11" s="631">
        <f>'P&amp;L'!E5/BS!M28</f>
        <v/>
      </c>
      <c r="G11" s="629">
        <f>E11-D11</f>
        <v/>
      </c>
      <c r="H11" s="355" t="inlineStr">
        <is>
          <t>due to increase in average working capital</t>
        </is>
      </c>
      <c r="L11">
        <f>E11-F11</f>
        <v/>
      </c>
    </row>
    <row r="12" ht="29" customHeight="1">
      <c r="A12" s="355" t="inlineStr">
        <is>
          <t>Net profit ratio %</t>
        </is>
      </c>
      <c r="B12" s="529" t="inlineStr">
        <is>
          <t>Profit for the year after tax</t>
        </is>
      </c>
      <c r="C12" s="355" t="inlineStr">
        <is>
          <t>Revanue from operation</t>
        </is>
      </c>
      <c r="D12" s="632">
        <f>'P&amp;L'!C24/'P&amp;L'!C7</f>
        <v/>
      </c>
      <c r="E12" s="629">
        <f>'P&amp;L'!D24/'P&amp;L'!D5</f>
        <v/>
      </c>
      <c r="F12" s="629">
        <f>'P&amp;L'!E24/'P&amp;L'!E5</f>
        <v/>
      </c>
      <c r="G12" s="629">
        <f>E12-D12</f>
        <v/>
      </c>
      <c r="H12" s="355" t="inlineStr">
        <is>
          <t>No variation</t>
        </is>
      </c>
      <c r="L12">
        <f>E12-F12</f>
        <v/>
      </c>
    </row>
    <row r="13" ht="43.5" customHeight="1">
      <c r="A13" s="355" t="inlineStr">
        <is>
          <t>Return on capital Employed %</t>
        </is>
      </c>
      <c r="B13" s="529" t="inlineStr">
        <is>
          <t>Profit before Tax+finance cost</t>
        </is>
      </c>
      <c r="C13" s="355" t="inlineStr">
        <is>
          <t>capital employed</t>
        </is>
      </c>
      <c r="D13" s="629">
        <f>('P&amp;L'!C20+'P&amp;L'!C16)/BS!K9</f>
        <v/>
      </c>
      <c r="E13" s="629">
        <f>('P&amp;L'!D20+'P&amp;L'!D16)/BS!L9</f>
        <v/>
      </c>
      <c r="F13" s="629">
        <f>('P&amp;L'!E20+'P&amp;L'!E16)/BS!M9</f>
        <v/>
      </c>
      <c r="G13" s="629">
        <f>E13-D13</f>
        <v/>
      </c>
      <c r="H13" s="513" t="inlineStr">
        <is>
          <t>Variation &lt; than 25%</t>
        </is>
      </c>
      <c r="L13">
        <f>E13-F13</f>
        <v/>
      </c>
    </row>
    <row r="14" ht="29" customHeight="1">
      <c r="A14" s="355" t="inlineStr">
        <is>
          <t>Return on investment %</t>
        </is>
      </c>
      <c r="B14" s="355" t="inlineStr">
        <is>
          <t>income from investment</t>
        </is>
      </c>
      <c r="C14" s="355" t="inlineStr">
        <is>
          <t xml:space="preserve">Average investment </t>
        </is>
      </c>
      <c r="D14" s="632" t="n"/>
      <c r="E14" s="633" t="inlineStr">
        <is>
          <t>NA</t>
        </is>
      </c>
      <c r="F14" s="633" t="inlineStr">
        <is>
          <t>NA</t>
        </is>
      </c>
      <c r="G14" s="633" t="n"/>
      <c r="H14" s="535" t="inlineStr">
        <is>
          <t>NA</t>
        </is>
      </c>
    </row>
    <row r="15">
      <c r="H15" s="58" t="n"/>
    </row>
    <row r="16">
      <c r="H16" s="58" t="n"/>
    </row>
    <row r="17">
      <c r="H17" s="58" t="n"/>
    </row>
    <row r="18">
      <c r="H18" s="58" t="n"/>
    </row>
    <row r="19" ht="29" customHeight="1">
      <c r="A19" s="536" t="inlineStr">
        <is>
          <t>Earning available for debt service</t>
        </is>
      </c>
      <c r="B19" s="161" t="inlineStr">
        <is>
          <t>Profit before interest and tax</t>
        </is>
      </c>
      <c r="C19" s="146" t="n"/>
      <c r="D19" s="146" t="n"/>
      <c r="E19" s="146" t="n"/>
      <c r="F19" s="146" t="n"/>
      <c r="G19" s="146" t="n"/>
      <c r="H19" s="300" t="n"/>
    </row>
    <row r="20">
      <c r="A20" s="242" t="inlineStr">
        <is>
          <t>Debt service</t>
        </is>
      </c>
      <c r="B20" s="50" t="inlineStr">
        <is>
          <t>Interest expense +repayment of loanduring the year</t>
        </is>
      </c>
      <c r="H20" s="58" t="n"/>
    </row>
    <row r="21">
      <c r="A21" s="537" t="inlineStr">
        <is>
          <t>capital employed</t>
        </is>
      </c>
      <c r="B21" s="50" t="inlineStr">
        <is>
          <t>Average equity and average loan fund</t>
        </is>
      </c>
      <c r="H21" s="58" t="n"/>
    </row>
    <row r="22" ht="29" customHeight="1">
      <c r="A22" s="537" t="inlineStr">
        <is>
          <t>income from investment</t>
        </is>
      </c>
      <c r="B22" s="50" t="inlineStr">
        <is>
          <t>profit on sale of investment , dividend and interest</t>
        </is>
      </c>
      <c r="H22" s="58" t="n"/>
    </row>
    <row r="23" ht="29" customHeight="1">
      <c r="A23" s="537" t="inlineStr">
        <is>
          <t xml:space="preserve">Average investment </t>
        </is>
      </c>
      <c r="B23" s="50" t="inlineStr">
        <is>
          <t>Includes current investment, inter corporate deposit and fixed deposit</t>
        </is>
      </c>
      <c r="H23" s="58" t="n"/>
    </row>
    <row r="24" ht="43.5" customHeight="1">
      <c r="A24" s="538" t="inlineStr">
        <is>
          <t xml:space="preserve">Return on investment                      a                     </t>
        </is>
      </c>
      <c r="B24" s="634" t="inlineStr">
        <is>
          <t>Return on investment is relating to fixed deposits. As regards Investment in shares of Patancheru Enivrotech Ltd. There is no return on this investment and hence not taken in calculation</t>
        </is>
      </c>
      <c r="C24" s="306" t="n"/>
      <c r="D24" s="306" t="n"/>
      <c r="E24" s="306" t="n"/>
      <c r="F24" s="306" t="n"/>
      <c r="G24" s="306" t="n"/>
      <c r="H24" s="263" t="n"/>
    </row>
    <row r="25">
      <c r="A25" s="539" t="n"/>
    </row>
    <row r="26">
      <c r="A26" s="539" t="n"/>
    </row>
    <row r="27">
      <c r="A27" t="inlineStr">
        <is>
          <t>As per our report of even date</t>
        </is>
      </c>
      <c r="B27" s="613" t="n"/>
      <c r="C27" s="613" t="n"/>
      <c r="D27" s="613" t="n"/>
      <c r="E27" s="613" t="n"/>
    </row>
    <row r="28">
      <c r="A28" t="inlineStr">
        <is>
          <t>For O M N  &amp; Associates</t>
        </is>
      </c>
      <c r="B28" s="613" t="n"/>
      <c r="C28" s="613" t="n"/>
      <c r="D28" s="613" t="n"/>
      <c r="E28" s="613" t="n"/>
    </row>
    <row r="29">
      <c r="A29" t="inlineStr">
        <is>
          <t>Chartered Accountants</t>
        </is>
      </c>
      <c r="B29" s="613" t="n"/>
      <c r="C29" s="613" t="n"/>
      <c r="D29" s="613" t="n"/>
      <c r="E29" s="282" t="inlineStr">
        <is>
          <t>Director</t>
        </is>
      </c>
    </row>
    <row r="30">
      <c r="A30" t="inlineStr">
        <is>
          <t>( Firm regn. No. 000383S)</t>
        </is>
      </c>
      <c r="B30" s="613" t="n"/>
      <c r="E30" s="282" t="inlineStr">
        <is>
          <t>G Krishna</t>
        </is>
      </c>
      <c r="F30" s="613" t="n"/>
    </row>
    <row r="31">
      <c r="A31" s="294" t="n"/>
      <c r="B31" s="613" t="n"/>
      <c r="E31" s="282" t="inlineStr">
        <is>
          <t>DIN: 03336421</t>
        </is>
      </c>
      <c r="F31" s="282" t="inlineStr">
        <is>
          <t>Director</t>
        </is>
      </c>
    </row>
    <row r="32">
      <c r="B32" s="613" t="n"/>
      <c r="E32" s="282" t="n"/>
      <c r="F32" s="282" t="inlineStr">
        <is>
          <t>G Krishna</t>
        </is>
      </c>
    </row>
    <row r="33">
      <c r="A33" t="inlineStr">
        <is>
          <t>Om Prakash Bang</t>
        </is>
      </c>
      <c r="B33" s="613" t="n"/>
      <c r="E33" s="613" t="n"/>
      <c r="F33" s="282" t="inlineStr">
        <is>
          <t>DIN: 03336421</t>
        </is>
      </c>
    </row>
    <row r="34">
      <c r="A34" t="inlineStr">
        <is>
          <t>Partner</t>
        </is>
      </c>
      <c r="B34" s="613" t="n"/>
      <c r="E34" s="282" t="inlineStr">
        <is>
          <t>Director</t>
        </is>
      </c>
      <c r="F34" s="282" t="n"/>
    </row>
    <row r="35">
      <c r="A35" t="inlineStr">
        <is>
          <t>Membership No. 018948</t>
        </is>
      </c>
      <c r="B35" s="613" t="n"/>
      <c r="E35" s="282" t="inlineStr">
        <is>
          <t>G Krupan</t>
        </is>
      </c>
      <c r="F35" s="613" t="n"/>
    </row>
    <row r="36">
      <c r="A36" t="inlineStr">
        <is>
          <t>Place: Hyderabad</t>
        </is>
      </c>
      <c r="B36" s="613" t="n"/>
      <c r="E36" s="282" t="inlineStr">
        <is>
          <t>DIN : 03363685</t>
        </is>
      </c>
      <c r="F36" s="282" t="inlineStr">
        <is>
          <t>Director</t>
        </is>
      </c>
    </row>
    <row r="37">
      <c r="A37">
        <f>BS!A41</f>
        <v/>
      </c>
      <c r="B37" s="613" t="n"/>
      <c r="F37" s="282" t="inlineStr">
        <is>
          <t>G Krupan</t>
        </is>
      </c>
    </row>
    <row r="38">
      <c r="A38" t="inlineStr">
        <is>
          <t>UDIN:</t>
        </is>
      </c>
      <c r="B38" s="613" t="n"/>
      <c r="F38" s="282" t="inlineStr">
        <is>
          <t>DIN : 03363685</t>
        </is>
      </c>
    </row>
    <row r="39">
      <c r="A39" s="539" t="n"/>
    </row>
    <row r="40">
      <c r="A40" s="539" t="n"/>
    </row>
    <row r="41">
      <c r="A41" s="539" t="n"/>
    </row>
    <row r="42">
      <c r="A42" s="539" t="n"/>
    </row>
    <row r="43">
      <c r="A43" s="539" t="n"/>
    </row>
    <row r="44">
      <c r="A44" s="539" t="n"/>
    </row>
    <row r="45">
      <c r="A45" s="539" t="n"/>
    </row>
    <row r="46">
      <c r="A46" s="539" t="n"/>
    </row>
    <row r="47">
      <c r="A47" s="539" t="n"/>
    </row>
    <row r="48">
      <c r="A48" s="539" t="n"/>
    </row>
    <row r="49">
      <c r="A49" s="298" t="n"/>
      <c r="B49" s="298" t="n"/>
      <c r="C49" s="298" t="n"/>
      <c r="D49" s="298" t="n"/>
    </row>
    <row r="50" ht="43.5" customHeight="1">
      <c r="A50" s="540" t="inlineStr">
        <is>
          <t>Average shareholders equity</t>
        </is>
      </c>
      <c r="B50" s="298" t="inlineStr">
        <is>
          <t>Op bal+Cl bal/2</t>
        </is>
      </c>
      <c r="C50" s="298" t="n"/>
      <c r="D50" s="298" t="n"/>
    </row>
    <row r="51" ht="29" customHeight="1">
      <c r="A51" s="540" t="inlineStr">
        <is>
          <t>average working capital</t>
        </is>
      </c>
      <c r="B51" s="298" t="inlineStr">
        <is>
          <t>Op+Cl/2</t>
        </is>
      </c>
      <c r="C51" s="298" t="n"/>
      <c r="D51" s="298" t="n"/>
    </row>
    <row r="52">
      <c r="A52" s="540" t="inlineStr">
        <is>
          <t>Average Inventory</t>
        </is>
      </c>
      <c r="B52" s="298" t="inlineStr">
        <is>
          <t>Op bal+Cl bal/2</t>
        </is>
      </c>
      <c r="C52" s="298" t="n"/>
      <c r="D52" s="298" t="n"/>
    </row>
    <row r="53" ht="29" customHeight="1">
      <c r="A53" s="540" t="inlineStr">
        <is>
          <t>Average trade receivable</t>
        </is>
      </c>
      <c r="B53" s="298" t="inlineStr">
        <is>
          <t>Op bal+Cl bal/2</t>
        </is>
      </c>
      <c r="C53" s="298" t="n"/>
      <c r="D53" s="298" t="n"/>
    </row>
    <row r="54" ht="29" customHeight="1">
      <c r="A54" s="540" t="inlineStr">
        <is>
          <t>Average trade payable</t>
        </is>
      </c>
      <c r="B54" s="298" t="inlineStr">
        <is>
          <t>Op bal+Cl bal/2</t>
        </is>
      </c>
      <c r="C54" s="298" t="n"/>
      <c r="D54" s="298" t="n"/>
    </row>
    <row r="55" ht="29" customHeight="1">
      <c r="A55" s="540" t="inlineStr">
        <is>
          <t xml:space="preserve">Average investment </t>
        </is>
      </c>
      <c r="B55" s="298" t="inlineStr">
        <is>
          <t>Op bal+Cl bal/2</t>
        </is>
      </c>
      <c r="C55" s="298" t="n"/>
      <c r="D55" s="298" t="n"/>
    </row>
  </sheetData>
  <mergeCells count="1">
    <mergeCell ref="B24:H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3" sqref="A3"/>
    </sheetView>
  </sheetViews>
  <sheetFormatPr baseColWidth="8" defaultColWidth="9" defaultRowHeight="14.5"/>
  <cols>
    <col width="34.08984375" customWidth="1" min="1" max="1"/>
    <col width="13" customWidth="1" min="2" max="2"/>
    <col width="16.08984375" customWidth="1" min="3" max="3"/>
    <col width="10.1796875" customWidth="1" min="4" max="4"/>
    <col width="11.453125" customWidth="1" min="5" max="5"/>
    <col width="12.54296875" customWidth="1" min="6" max="6"/>
    <col width="13.453125" customWidth="1" min="7" max="7"/>
  </cols>
  <sheetData>
    <row r="1">
      <c r="A1" s="1" t="inlineStr">
        <is>
          <t>Discloser of Trade payable</t>
        </is>
      </c>
    </row>
    <row r="2">
      <c r="A2" s="1" t="inlineStr">
        <is>
          <t xml:space="preserve">Forming part of Note trade payable </t>
        </is>
      </c>
    </row>
    <row r="3">
      <c r="A3" s="187" t="inlineStr">
        <is>
          <t>Discloser for the Financial year 2022-23</t>
        </is>
      </c>
      <c r="B3" s="198" t="n"/>
      <c r="C3" s="492" t="n"/>
      <c r="D3" s="198" t="n"/>
      <c r="E3" s="493" t="n"/>
      <c r="F3" s="493" t="n"/>
    </row>
    <row r="4">
      <c r="A4" s="152" t="inlineStr">
        <is>
          <t>Particulars</t>
        </is>
      </c>
      <c r="B4" s="300" t="n"/>
      <c r="C4" s="299" t="inlineStr">
        <is>
          <t xml:space="preserve">Outstanding for following peroid from </t>
        </is>
      </c>
      <c r="D4" s="153" t="n"/>
      <c r="E4" s="153" t="n"/>
      <c r="F4" s="151" t="n"/>
    </row>
    <row r="5">
      <c r="A5" s="185" t="n"/>
      <c r="B5" s="494" t="n"/>
      <c r="C5" s="185" t="inlineStr">
        <is>
          <t>due date of payment</t>
        </is>
      </c>
      <c r="D5" s="495" t="n"/>
      <c r="E5" s="495" t="n"/>
      <c r="F5" s="184" t="inlineStr">
        <is>
          <t>Total</t>
        </is>
      </c>
    </row>
    <row r="6">
      <c r="A6" s="172" t="n"/>
      <c r="B6" s="496" t="inlineStr">
        <is>
          <t>&lt; 1  year</t>
        </is>
      </c>
      <c r="C6" s="492" t="inlineStr">
        <is>
          <t xml:space="preserve">1-2 years </t>
        </is>
      </c>
      <c r="D6" s="496" t="inlineStr">
        <is>
          <t xml:space="preserve">2-3 years </t>
        </is>
      </c>
      <c r="E6" s="496" t="inlineStr">
        <is>
          <t>&gt; 3years</t>
        </is>
      </c>
      <c r="F6" s="204" t="n"/>
    </row>
    <row r="7">
      <c r="A7" s="301" t="inlineStr">
        <is>
          <t>(i)   MSME</t>
        </is>
      </c>
      <c r="B7" s="635" t="n"/>
      <c r="C7" s="635" t="n"/>
      <c r="D7" s="635" t="n"/>
      <c r="E7" s="636" t="n"/>
      <c r="F7" s="637" t="n"/>
    </row>
    <row r="8">
      <c r="A8" s="88" t="inlineStr">
        <is>
          <t>(ii)  Others</t>
        </is>
      </c>
      <c r="B8" s="637">
        <f>Notes!D51</f>
        <v/>
      </c>
      <c r="C8" s="638" t="n"/>
      <c r="D8" s="637" t="n"/>
      <c r="E8" s="636" t="n"/>
      <c r="F8" s="637">
        <f>B8+C8+D8+E8</f>
        <v/>
      </c>
    </row>
    <row r="9">
      <c r="A9" s="88" t="inlineStr">
        <is>
          <t>(iii) Disputed dues MSME</t>
        </is>
      </c>
      <c r="B9" s="637" t="n"/>
      <c r="C9" s="638" t="n"/>
      <c r="D9" s="637" t="n"/>
      <c r="E9" s="636" t="n"/>
      <c r="F9" s="637" t="n"/>
    </row>
    <row r="10">
      <c r="A10" s="88" t="inlineStr">
        <is>
          <t>(iv) Disputed Dues Others</t>
        </is>
      </c>
      <c r="B10" s="637" t="n"/>
      <c r="C10" s="638" t="n"/>
      <c r="D10" s="637" t="n"/>
      <c r="E10" s="637" t="n"/>
      <c r="F10" s="637" t="n"/>
    </row>
    <row r="11">
      <c r="A11" s="185" t="inlineStr">
        <is>
          <t>Total</t>
        </is>
      </c>
      <c r="B11" s="639">
        <f>SUM(B7:B10)</f>
        <v/>
      </c>
      <c r="C11" s="639">
        <f>SUM(C7:C10)</f>
        <v/>
      </c>
      <c r="D11" s="639">
        <f>SUM(D7:D10)</f>
        <v/>
      </c>
      <c r="E11" s="639">
        <f>SUM(E7:E10)</f>
        <v/>
      </c>
      <c r="F11" s="639">
        <f>SUM(F7:F10)</f>
        <v/>
      </c>
    </row>
    <row r="12">
      <c r="A12" s="187" t="inlineStr">
        <is>
          <t>Discloser for the Financial year 2021-22</t>
        </is>
      </c>
      <c r="B12" s="73" t="n"/>
      <c r="C12" s="88" t="n"/>
      <c r="D12" s="73" t="n"/>
      <c r="E12" s="502" t="n"/>
      <c r="F12" s="88" t="n"/>
    </row>
    <row r="13">
      <c r="A13" s="152" t="inlineStr">
        <is>
          <t>Particulars</t>
        </is>
      </c>
      <c r="B13" s="300" t="n"/>
      <c r="C13" s="299" t="inlineStr">
        <is>
          <t xml:space="preserve">Outstanding for following peroid from </t>
        </is>
      </c>
      <c r="D13" s="153" t="n"/>
      <c r="E13" s="153" t="n"/>
      <c r="F13" s="151" t="n"/>
    </row>
    <row r="14">
      <c r="A14" s="185" t="n"/>
      <c r="B14" s="494" t="n"/>
      <c r="C14" s="185" t="inlineStr">
        <is>
          <t>due date of payment</t>
        </is>
      </c>
      <c r="D14" s="495" t="n"/>
      <c r="E14" s="495" t="n"/>
      <c r="F14" s="184" t="inlineStr">
        <is>
          <t>Total</t>
        </is>
      </c>
    </row>
    <row r="15">
      <c r="A15" s="151" t="n"/>
      <c r="B15" s="496" t="inlineStr">
        <is>
          <t>&lt; 1  year</t>
        </is>
      </c>
      <c r="C15" s="492" t="inlineStr">
        <is>
          <t xml:space="preserve">1-2 years </t>
        </is>
      </c>
      <c r="D15" s="496" t="inlineStr">
        <is>
          <t xml:space="preserve">2-3 years </t>
        </is>
      </c>
      <c r="E15" s="198" t="inlineStr">
        <is>
          <t>&gt; 3years</t>
        </is>
      </c>
      <c r="F15" s="204" t="n"/>
    </row>
    <row r="16">
      <c r="A16" s="302" t="inlineStr">
        <is>
          <t>(i)   MSME</t>
        </is>
      </c>
      <c r="B16" s="640" t="n"/>
      <c r="C16" s="641" t="n"/>
      <c r="D16" s="640" t="n"/>
      <c r="E16" s="642" t="n"/>
      <c r="F16" s="640" t="n"/>
    </row>
    <row r="17">
      <c r="A17" s="506" t="inlineStr">
        <is>
          <t>(ii)  Others</t>
        </is>
      </c>
      <c r="B17" s="637">
        <f>Notes!F51</f>
        <v/>
      </c>
      <c r="C17" s="638" t="n"/>
      <c r="D17" s="637" t="n"/>
      <c r="E17" s="636" t="n"/>
      <c r="F17" s="637">
        <f>B17</f>
        <v/>
      </c>
    </row>
    <row r="18">
      <c r="A18" s="506" t="inlineStr">
        <is>
          <t>(iii) Disputed dues MSME</t>
        </is>
      </c>
      <c r="B18" s="640" t="n"/>
      <c r="C18" s="641" t="n"/>
      <c r="D18" s="640" t="n"/>
      <c r="E18" s="642" t="n"/>
      <c r="F18" s="640" t="n"/>
    </row>
    <row r="19">
      <c r="A19" s="506" t="inlineStr">
        <is>
          <t>(iv) Disputed Dues Others</t>
        </is>
      </c>
      <c r="B19" s="640" t="n"/>
      <c r="C19" s="641" t="n"/>
      <c r="D19" s="640" t="n"/>
      <c r="E19" s="642" t="n"/>
      <c r="F19" s="640" t="n"/>
    </row>
    <row r="20">
      <c r="A20" s="184" t="inlineStr">
        <is>
          <t>Total</t>
        </is>
      </c>
      <c r="B20" s="643">
        <f>SUM(B16:B19)</f>
        <v/>
      </c>
      <c r="C20" s="644">
        <f>SUM(C16:C19)</f>
        <v/>
      </c>
      <c r="D20" s="496" t="n"/>
      <c r="E20" s="198" t="n"/>
      <c r="F20" s="643">
        <f>SUM(F16:F19)</f>
        <v/>
      </c>
    </row>
    <row r="21"/>
    <row r="22"/>
    <row r="23"/>
    <row r="24"/>
    <row r="25"/>
    <row r="26"/>
    <row r="27">
      <c r="A27" s="1" t="inlineStr">
        <is>
          <t>Forming part of Note Trade receivable</t>
        </is>
      </c>
    </row>
    <row r="28">
      <c r="A28" s="264" t="inlineStr">
        <is>
          <t>Trade receivables Aging schedule</t>
        </is>
      </c>
      <c r="B28" s="135" t="n"/>
      <c r="C28" s="135" t="n"/>
      <c r="D28" s="135" t="n"/>
      <c r="E28" s="135" t="n"/>
      <c r="F28" s="135" t="n"/>
      <c r="G28" s="511" t="n"/>
    </row>
    <row r="29">
      <c r="A29" s="161" t="n"/>
      <c r="B29" s="512" t="inlineStr">
        <is>
          <t xml:space="preserve">Outstanding for following peroid from </t>
        </is>
      </c>
      <c r="C29" s="146" t="n"/>
      <c r="D29" s="146" t="n"/>
      <c r="E29" s="146" t="n"/>
      <c r="F29" s="146" t="n"/>
      <c r="G29" s="300" t="n"/>
    </row>
    <row r="30">
      <c r="A30" s="292" t="n"/>
      <c r="B30" s="234" t="inlineStr">
        <is>
          <t>due date of receivables for the finamncial year 2022-23</t>
        </is>
      </c>
      <c r="G30" s="58" t="n"/>
    </row>
    <row r="31" ht="29" customHeight="1">
      <c r="A31" s="513" t="n"/>
      <c r="B31" s="306" t="inlineStr">
        <is>
          <t>&lt; Six months</t>
        </is>
      </c>
      <c r="C31" s="355" t="inlineStr">
        <is>
          <t>Six months -1 year</t>
        </is>
      </c>
      <c r="D31" s="135" t="inlineStr">
        <is>
          <t xml:space="preserve">1-2 years </t>
        </is>
      </c>
      <c r="E31" s="513" t="inlineStr">
        <is>
          <t xml:space="preserve">2-3 years </t>
        </is>
      </c>
      <c r="F31" s="513" t="inlineStr">
        <is>
          <t>&gt; 3years</t>
        </is>
      </c>
      <c r="G31" s="513" t="inlineStr">
        <is>
          <t>Total</t>
        </is>
      </c>
    </row>
    <row r="32">
      <c r="A32" s="161" t="inlineStr">
        <is>
          <t xml:space="preserve">(i)   Undisputed Trade </t>
        </is>
      </c>
      <c r="B32" s="645" t="n"/>
      <c r="C32" s="646" t="n"/>
      <c r="D32" s="645" t="n"/>
      <c r="E32" s="645" t="n"/>
      <c r="F32" s="646" t="n"/>
      <c r="G32" s="646">
        <f>B32+C32+D32+I32+F32</f>
        <v/>
      </c>
    </row>
    <row r="33">
      <c r="A33" s="50" t="inlineStr">
        <is>
          <t>receivables</t>
        </is>
      </c>
      <c r="C33" s="50" t="n"/>
      <c r="F33" s="242" t="n"/>
      <c r="G33" s="50" t="n"/>
    </row>
    <row r="34">
      <c r="A34" s="50" t="inlineStr">
        <is>
          <t>Considered good</t>
        </is>
      </c>
      <c r="B34" s="647">
        <f>Notes!D76</f>
        <v/>
      </c>
      <c r="C34" s="50" t="n"/>
      <c r="F34" s="242" t="n"/>
      <c r="G34" s="648">
        <f>B34</f>
        <v/>
      </c>
    </row>
    <row r="35">
      <c r="A35" s="50" t="inlineStr">
        <is>
          <t xml:space="preserve">(ii)  Undisputed Trade </t>
        </is>
      </c>
      <c r="B35" s="649" t="n"/>
      <c r="C35" s="650" t="n"/>
      <c r="D35" s="649" t="n"/>
      <c r="E35" s="649" t="n"/>
      <c r="F35" s="651" t="n"/>
      <c r="G35" s="652">
        <f>B35+C35+D35+I35+F35</f>
        <v/>
      </c>
    </row>
    <row r="36">
      <c r="A36" s="50" t="inlineStr">
        <is>
          <t>receivables</t>
        </is>
      </c>
      <c r="B36" s="649" t="n"/>
      <c r="C36" s="650" t="n"/>
      <c r="D36" s="649" t="n"/>
      <c r="E36" s="649" t="n"/>
      <c r="F36" s="651" t="n"/>
      <c r="G36" s="650" t="n"/>
    </row>
    <row r="37">
      <c r="A37" s="50" t="inlineStr">
        <is>
          <t>Considered doubtful</t>
        </is>
      </c>
      <c r="B37" s="649" t="n"/>
      <c r="C37" s="650" t="n"/>
      <c r="D37" s="649" t="n"/>
      <c r="E37" s="649" t="n"/>
      <c r="F37" s="651" t="n"/>
      <c r="G37" s="650" t="n"/>
    </row>
    <row r="38">
      <c r="A38" s="50" t="inlineStr">
        <is>
          <t xml:space="preserve">(iii) Disputed Trade </t>
        </is>
      </c>
      <c r="B38" s="649" t="n"/>
      <c r="C38" s="650" t="n"/>
      <c r="D38" s="649" t="n"/>
      <c r="E38" s="649" t="n"/>
      <c r="F38" s="651" t="n"/>
      <c r="G38" s="652">
        <f>B38+C38+D38+I38+F38</f>
        <v/>
      </c>
    </row>
    <row r="39">
      <c r="A39" s="50" t="inlineStr">
        <is>
          <t>receivables</t>
        </is>
      </c>
      <c r="B39" s="649" t="n"/>
      <c r="C39" s="650" t="n"/>
      <c r="D39" s="649" t="n"/>
      <c r="E39" s="649" t="n"/>
      <c r="F39" s="651" t="n"/>
      <c r="G39" s="650" t="n"/>
    </row>
    <row r="40">
      <c r="A40" s="50" t="inlineStr">
        <is>
          <t>Considered good</t>
        </is>
      </c>
      <c r="B40" s="649" t="n"/>
      <c r="C40" s="650" t="n"/>
      <c r="D40" s="649" t="n"/>
      <c r="E40" s="649" t="n"/>
      <c r="F40" s="651" t="n"/>
      <c r="G40" s="650" t="n"/>
    </row>
    <row r="41">
      <c r="A41" s="50" t="inlineStr">
        <is>
          <t xml:space="preserve">(iv)  Disputed Trade </t>
        </is>
      </c>
      <c r="B41" s="649" t="n"/>
      <c r="C41" s="650" t="n"/>
      <c r="D41" s="649" t="n"/>
      <c r="E41" s="649" t="n"/>
      <c r="F41" s="651" t="n"/>
      <c r="G41" s="652">
        <f>B41+C41+D41+I41+F41</f>
        <v/>
      </c>
    </row>
    <row r="42">
      <c r="A42" s="50" t="inlineStr">
        <is>
          <t>receivables</t>
        </is>
      </c>
      <c r="B42" s="649" t="n"/>
      <c r="C42" s="650" t="n"/>
      <c r="D42" s="649" t="n"/>
      <c r="E42" s="649" t="n"/>
      <c r="F42" s="650" t="n"/>
      <c r="G42" s="650" t="n"/>
    </row>
    <row r="43">
      <c r="A43" s="50" t="inlineStr">
        <is>
          <t>Considered doubtful</t>
        </is>
      </c>
      <c r="C43" s="50" t="n"/>
      <c r="F43" s="50" t="n"/>
      <c r="G43" s="50" t="n"/>
    </row>
    <row r="44">
      <c r="A44" s="292" t="n"/>
      <c r="B44" s="306" t="n"/>
      <c r="C44" s="292" t="n"/>
      <c r="D44" s="306" t="n"/>
      <c r="E44" s="306" t="n"/>
      <c r="F44" s="292" t="n"/>
      <c r="G44" s="292" t="n"/>
    </row>
    <row r="45">
      <c r="A45" s="519" t="n"/>
      <c r="B45" s="242" t="n"/>
      <c r="C45" s="649" t="n"/>
      <c r="D45" s="651" t="n"/>
      <c r="E45" s="653" t="n"/>
    </row>
    <row r="46">
      <c r="A46" s="161" t="n"/>
      <c r="B46" s="512" t="inlineStr">
        <is>
          <t xml:space="preserve">Outstanding for following peroid from </t>
        </is>
      </c>
      <c r="C46" s="146" t="n"/>
      <c r="D46" s="146" t="n"/>
      <c r="E46" s="146" t="n"/>
      <c r="F46" s="146" t="n"/>
      <c r="G46" s="300" t="n"/>
    </row>
    <row r="47">
      <c r="A47" s="292" t="n"/>
      <c r="B47" s="234" t="inlineStr">
        <is>
          <t>due date of receivables for the finamncial year 2021-22</t>
        </is>
      </c>
      <c r="C47" s="306" t="n"/>
      <c r="D47" s="306" t="n"/>
      <c r="E47" s="306" t="n"/>
      <c r="F47" s="306" t="n"/>
      <c r="G47" s="263" t="n"/>
    </row>
    <row r="48" ht="29" customHeight="1">
      <c r="A48" s="511" t="n"/>
      <c r="B48" s="306" t="inlineStr">
        <is>
          <t>&lt; Six months</t>
        </is>
      </c>
      <c r="C48" s="355" t="inlineStr">
        <is>
          <t>Six months -1 year</t>
        </is>
      </c>
      <c r="D48" s="135" t="inlineStr">
        <is>
          <t xml:space="preserve">1-2 years </t>
        </is>
      </c>
      <c r="E48" s="513" t="inlineStr">
        <is>
          <t xml:space="preserve">2-3 years </t>
        </is>
      </c>
      <c r="F48" s="513" t="inlineStr">
        <is>
          <t>&gt; 3years</t>
        </is>
      </c>
      <c r="G48" s="513" t="inlineStr">
        <is>
          <t>Total</t>
        </is>
      </c>
    </row>
    <row r="49">
      <c r="A49" s="161" t="inlineStr">
        <is>
          <t xml:space="preserve">(i)   Undisputed Trade </t>
        </is>
      </c>
      <c r="B49" s="645" t="n"/>
      <c r="C49" s="646" t="n"/>
      <c r="D49" s="645" t="n"/>
      <c r="E49" s="645" t="n"/>
      <c r="F49" s="646" t="n"/>
      <c r="G49" s="646">
        <f>B49</f>
        <v/>
      </c>
    </row>
    <row r="50">
      <c r="A50" s="50" t="inlineStr">
        <is>
          <t>receivables</t>
        </is>
      </c>
      <c r="C50" s="50" t="n"/>
      <c r="F50" s="50" t="n"/>
      <c r="G50" s="50" t="n"/>
    </row>
    <row r="51">
      <c r="A51" s="50" t="inlineStr">
        <is>
          <t>Considered good</t>
        </is>
      </c>
      <c r="B51" s="647">
        <f>Notes!F75</f>
        <v/>
      </c>
      <c r="C51" s="50" t="n"/>
      <c r="F51" s="50" t="n"/>
      <c r="G51" s="648">
        <f>B51</f>
        <v/>
      </c>
    </row>
    <row r="52">
      <c r="A52" s="50" t="inlineStr">
        <is>
          <t xml:space="preserve">(ii)  Undisputed Trade </t>
        </is>
      </c>
      <c r="C52" s="50" t="n"/>
      <c r="F52" s="50" t="n"/>
      <c r="G52" s="50" t="n"/>
    </row>
    <row r="53">
      <c r="A53" s="50" t="inlineStr">
        <is>
          <t>receivables</t>
        </is>
      </c>
      <c r="C53" s="50" t="n"/>
      <c r="F53" s="50" t="n"/>
      <c r="G53" s="50" t="n"/>
    </row>
    <row r="54">
      <c r="A54" s="50" t="inlineStr">
        <is>
          <t>Considered doubtful</t>
        </is>
      </c>
      <c r="C54" s="50" t="n"/>
      <c r="F54" s="50" t="n"/>
      <c r="G54" s="50" t="n"/>
    </row>
    <row r="55">
      <c r="A55" s="50" t="inlineStr">
        <is>
          <t xml:space="preserve">(iii) Disputed Trade </t>
        </is>
      </c>
      <c r="C55" s="50" t="n"/>
      <c r="F55" s="50" t="n"/>
      <c r="G55" s="50" t="n"/>
    </row>
    <row r="56">
      <c r="A56" s="50" t="inlineStr">
        <is>
          <t>receivables</t>
        </is>
      </c>
      <c r="C56" s="50" t="n"/>
      <c r="F56" s="50" t="n"/>
      <c r="G56" s="50" t="n"/>
    </row>
    <row r="57">
      <c r="A57" s="50" t="inlineStr">
        <is>
          <t>Considered good</t>
        </is>
      </c>
      <c r="C57" s="50" t="n"/>
      <c r="F57" s="50" t="n"/>
      <c r="G57" s="50" t="n"/>
    </row>
    <row r="58">
      <c r="A58" s="50" t="inlineStr">
        <is>
          <t xml:space="preserve">(iv)  Disputed Trade </t>
        </is>
      </c>
      <c r="C58" s="50" t="n"/>
      <c r="F58" s="50" t="n"/>
      <c r="G58" s="50" t="n"/>
    </row>
    <row r="59">
      <c r="A59" s="50" t="inlineStr">
        <is>
          <t>receivables</t>
        </is>
      </c>
      <c r="C59" s="50" t="n"/>
      <c r="F59" s="50" t="n"/>
      <c r="G59" s="50" t="n"/>
    </row>
    <row r="60">
      <c r="A60" s="50" t="inlineStr">
        <is>
          <t>Considered doubtful</t>
        </is>
      </c>
      <c r="C60" s="50" t="n"/>
      <c r="F60" s="50" t="n"/>
      <c r="G60" s="50" t="n"/>
    </row>
    <row r="61">
      <c r="A61" s="292" t="n"/>
      <c r="B61" s="306" t="n"/>
      <c r="C61" s="292" t="n"/>
      <c r="D61" s="306" t="n"/>
      <c r="E61" s="306" t="n"/>
      <c r="F61" s="292" t="n"/>
      <c r="G61" s="292" t="n"/>
    </row>
  </sheetData>
  <mergeCells count="2">
    <mergeCell ref="A4:B4"/>
    <mergeCell ref="A13:B13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topLeftCell="A12" workbookViewId="0">
      <selection activeCell="G12" sqref="G12"/>
    </sheetView>
  </sheetViews>
  <sheetFormatPr baseColWidth="8" defaultColWidth="9" defaultRowHeight="14.5"/>
  <cols>
    <col width="15" customWidth="1" min="4" max="4"/>
    <col width="13.453125" customWidth="1" min="5" max="5"/>
    <col width="12.08984375" customWidth="1" min="8" max="8"/>
  </cols>
  <sheetData>
    <row r="1"/>
    <row r="2">
      <c r="A2" s="1" t="inlineStr">
        <is>
          <t>Other payable</t>
        </is>
      </c>
      <c r="D2" s="59" t="n">
        <v>45016</v>
      </c>
    </row>
    <row r="3"/>
    <row r="4">
      <c r="A4" s="485" t="inlineStr">
        <is>
          <t>TCS</t>
        </is>
      </c>
      <c r="D4" s="654" t="n"/>
      <c r="E4" s="655">
        <f>'Trial Bal'!C23</f>
        <v/>
      </c>
    </row>
    <row r="5">
      <c r="A5" s="485" t="inlineStr">
        <is>
          <t>TDS Creditors</t>
        </is>
      </c>
      <c r="D5" s="654" t="n"/>
      <c r="E5" s="655">
        <f>'Trial Bal'!C25</f>
        <v/>
      </c>
    </row>
    <row r="6">
      <c r="A6" s="487">
        <f>'Trial Bal'!A28</f>
        <v/>
      </c>
      <c r="D6" s="655">
        <f>'TB2023'!C17+30000</f>
        <v/>
      </c>
      <c r="E6" s="655">
        <f>'Trial Bal'!C28+30000</f>
        <v/>
      </c>
    </row>
    <row r="7">
      <c r="A7" t="inlineStr">
        <is>
          <t>Provision for CSR</t>
        </is>
      </c>
      <c r="D7" s="655" t="n"/>
      <c r="E7" s="655" t="n"/>
    </row>
    <row r="8">
      <c r="D8" s="656">
        <f>SUM(D4:D7)</f>
        <v/>
      </c>
      <c r="E8" s="656">
        <f>SUM(E4:E7)</f>
        <v/>
      </c>
    </row>
    <row r="9"/>
    <row r="10">
      <c r="A10" t="inlineStr">
        <is>
          <t>I T Refundable</t>
        </is>
      </c>
    </row>
    <row r="11">
      <c r="A11" t="inlineStr">
        <is>
          <t>21-22</t>
        </is>
      </c>
      <c r="D11" s="655">
        <f>'TB2023'!B30</f>
        <v/>
      </c>
    </row>
    <row r="12">
      <c r="A12" t="inlineStr">
        <is>
          <t>22-23</t>
        </is>
      </c>
      <c r="D12" s="488">
        <f>15988100.8-'P&amp;L'!C22</f>
        <v/>
      </c>
      <c r="H12" s="488" t="n"/>
    </row>
    <row r="13">
      <c r="D13" s="654" t="n"/>
      <c r="H13" s="647" t="n"/>
    </row>
    <row r="14">
      <c r="D14" s="656">
        <f>SUM(D11:D12)</f>
        <v/>
      </c>
    </row>
    <row r="15"/>
    <row r="16">
      <c r="A16" t="inlineStr">
        <is>
          <t>GST Refundable</t>
        </is>
      </c>
    </row>
    <row r="17">
      <c r="A17" s="489" t="inlineStr">
        <is>
          <t>CGST @ 1.5%</t>
        </is>
      </c>
      <c r="D17" s="654" t="n"/>
    </row>
    <row r="18">
      <c r="A18" s="489" t="inlineStr">
        <is>
          <t>SGST @ 1.5%</t>
        </is>
      </c>
      <c r="D18" s="654" t="n"/>
    </row>
    <row r="19">
      <c r="D19" s="656">
        <f>SUM(D17:D18)</f>
        <v/>
      </c>
    </row>
    <row r="20"/>
    <row r="21"/>
    <row r="22">
      <c r="A22" t="inlineStr">
        <is>
          <t>Other income</t>
        </is>
      </c>
    </row>
    <row r="23">
      <c r="A23" s="490" t="inlineStr">
        <is>
          <t>Discount Recd. A/c.</t>
        </is>
      </c>
      <c r="D23" s="655">
        <f>'TB2023'!C46</f>
        <v/>
      </c>
    </row>
    <row r="24">
      <c r="A24" s="490" t="inlineStr">
        <is>
          <t>Interest on IT Refund</t>
        </is>
      </c>
      <c r="D24" s="655">
        <f>'TB2023'!C47</f>
        <v/>
      </c>
    </row>
    <row r="25">
      <c r="A25">
        <f>'TB2023'!A53</f>
        <v/>
      </c>
      <c r="D25" s="657" t="n"/>
    </row>
    <row r="26">
      <c r="D26" s="658">
        <f>SUM(D23:D25)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1"/>
  <sheetViews>
    <sheetView tabSelected="1" topLeftCell="A28" zoomScale="82" zoomScaleNormal="82" workbookViewId="0">
      <selection activeCell="C39" sqref="C37:C39"/>
    </sheetView>
  </sheetViews>
  <sheetFormatPr baseColWidth="8" defaultColWidth="9" defaultRowHeight="14.5"/>
  <cols>
    <col width="6.453125" customWidth="1" min="1" max="1"/>
    <col width="56.54296875" customWidth="1" min="2" max="2"/>
    <col width="25.7265625" customWidth="1" min="3" max="3"/>
    <col width="23.453125" customWidth="1" min="4" max="4"/>
    <col width="19.90625" customWidth="1" style="655" min="5" max="5"/>
    <col width="21.54296875" customWidth="1" style="655" min="6" max="6"/>
    <col hidden="1" width="13.54296875" customWidth="1" min="7" max="7"/>
    <col hidden="1" width="16.6328125" customWidth="1" min="8" max="8"/>
    <col hidden="1" width="13.54296875" customWidth="1" min="9" max="9"/>
    <col hidden="1" width="16.6328125" customWidth="1" min="10" max="10"/>
    <col hidden="1" width="9" customWidth="1" min="11" max="11"/>
    <col width="13.90625" customWidth="1" min="12" max="13"/>
  </cols>
  <sheetData>
    <row r="1" ht="15.5" customHeight="1">
      <c r="A1" s="322" t="n"/>
      <c r="B1" s="322" t="inlineStr">
        <is>
          <t>RAMSON AND GRANDSON JEWELLERS PRIVATE LIMITED</t>
        </is>
      </c>
      <c r="C1" s="322" t="n"/>
      <c r="D1" s="322" t="n"/>
      <c r="E1" s="659" t="n"/>
      <c r="F1" s="659" t="n"/>
      <c r="G1" s="322" t="n"/>
      <c r="H1" s="322" t="n"/>
      <c r="I1" s="322" t="n"/>
      <c r="J1" s="322" t="n"/>
    </row>
    <row r="2" ht="15.5" customHeight="1">
      <c r="A2" s="324" t="inlineStr">
        <is>
          <t xml:space="preserve">Note </t>
        </is>
      </c>
      <c r="B2" s="325" t="inlineStr">
        <is>
          <t>Notes on Financial Statements for the year ended 31st March 2023</t>
        </is>
      </c>
      <c r="C2" s="325" t="n"/>
      <c r="D2" s="325" t="n"/>
      <c r="E2" s="660" t="n"/>
      <c r="F2" s="661" t="n"/>
      <c r="G2" s="325" t="n"/>
      <c r="H2" s="325" t="n"/>
      <c r="I2" s="435" t="n"/>
      <c r="J2" s="329" t="n"/>
    </row>
    <row r="3" ht="15.5" customHeight="1">
      <c r="A3" s="328" t="inlineStr">
        <is>
          <t>No.</t>
        </is>
      </c>
      <c r="B3" s="329" t="n"/>
      <c r="C3" s="596" t="inlineStr">
        <is>
          <t>As At March 2023</t>
        </is>
      </c>
      <c r="D3" s="135" t="n"/>
      <c r="E3" s="662" t="inlineStr">
        <is>
          <t>As at March 2022</t>
        </is>
      </c>
      <c r="F3" s="511" t="n"/>
      <c r="G3" s="596" t="inlineStr">
        <is>
          <t>As at March 2021</t>
        </is>
      </c>
      <c r="H3" s="135" t="n"/>
      <c r="I3" s="663" t="inlineStr">
        <is>
          <t>As At 31st March 2020</t>
        </is>
      </c>
      <c r="J3" s="263" t="n"/>
    </row>
    <row r="4" ht="15.5" customHeight="1">
      <c r="A4" s="330" t="n"/>
      <c r="B4" s="330" t="inlineStr">
        <is>
          <t>SHARE CAPITAL</t>
        </is>
      </c>
      <c r="C4" s="664" t="n"/>
      <c r="D4" s="664" t="n"/>
      <c r="E4" s="664" t="n"/>
      <c r="F4" s="665" t="n"/>
      <c r="G4" s="333" t="n"/>
      <c r="H4" s="334" t="n"/>
      <c r="I4" s="334" t="n"/>
      <c r="J4" s="330" t="n"/>
    </row>
    <row r="5" ht="15.5" customHeight="1">
      <c r="A5" s="335" t="n"/>
      <c r="B5" s="336" t="inlineStr">
        <is>
          <t>Authorised Capital</t>
        </is>
      </c>
      <c r="C5" s="666" t="n"/>
      <c r="D5" s="666" t="n"/>
      <c r="E5" s="666" t="n"/>
      <c r="F5" s="667" t="n"/>
      <c r="G5" s="322" t="n"/>
      <c r="H5" s="339" t="n"/>
      <c r="I5" s="339" t="n"/>
      <c r="J5" s="336" t="n"/>
    </row>
    <row r="6" ht="15.5" customHeight="1">
      <c r="A6" s="335" t="n"/>
      <c r="B6" s="335" t="inlineStr">
        <is>
          <t>5,00,000 Equity shares of Rs. 10/- each</t>
        </is>
      </c>
      <c r="C6" s="668" t="n"/>
      <c r="D6" s="669" t="n"/>
      <c r="E6" s="668" t="n"/>
      <c r="F6" s="670">
        <f>H6</f>
        <v/>
      </c>
      <c r="G6" s="343" t="n"/>
      <c r="H6" s="671" t="n"/>
      <c r="I6" s="358" t="n"/>
      <c r="J6" s="670" t="n"/>
      <c r="L6" s="655" t="n"/>
      <c r="M6" s="655" t="n"/>
    </row>
    <row r="7" ht="15.5" customHeight="1">
      <c r="A7" s="335" t="n"/>
      <c r="B7" s="335" t="n"/>
      <c r="C7" s="668" t="n"/>
      <c r="D7" s="668" t="n"/>
      <c r="E7" s="668" t="n"/>
      <c r="F7" s="672" t="n"/>
      <c r="G7" s="343" t="n"/>
      <c r="H7" s="668" t="n"/>
      <c r="I7" s="358" t="n"/>
      <c r="J7" s="672" t="n"/>
      <c r="L7" s="655" t="n"/>
      <c r="M7" s="655" t="n"/>
    </row>
    <row r="8" ht="15.5" customHeight="1">
      <c r="A8" s="335" t="n"/>
      <c r="B8" s="336" t="inlineStr">
        <is>
          <t>Issued, Subscribed and paid up Capital</t>
        </is>
      </c>
      <c r="C8" s="666" t="n"/>
      <c r="D8" s="666" t="n"/>
      <c r="E8" s="666" t="n"/>
      <c r="F8" s="667" t="n"/>
      <c r="G8" s="322" t="n"/>
      <c r="H8" s="666" t="n"/>
      <c r="I8" s="339" t="n"/>
      <c r="J8" s="667" t="n"/>
      <c r="L8" s="655" t="n"/>
      <c r="M8" s="655" t="n"/>
    </row>
    <row r="9" ht="15.5" customHeight="1">
      <c r="A9" s="335" t="n"/>
      <c r="B9" s="335" t="inlineStr">
        <is>
          <t>1,30,000 (1,30,000) Equity shares of Rs. 10/- each</t>
        </is>
      </c>
      <c r="C9" s="668" t="n"/>
      <c r="D9" s="669">
        <f>'TB2023'!C10</f>
        <v/>
      </c>
      <c r="E9" s="668" t="n"/>
      <c r="F9" s="673">
        <f>H9</f>
        <v/>
      </c>
      <c r="G9" s="343" t="n"/>
      <c r="H9" s="669">
        <f>[1]TB2021!O62</f>
        <v/>
      </c>
      <c r="I9" s="358" t="n"/>
      <c r="J9" s="672">
        <f>'[1]TB 2020'!C13</f>
        <v/>
      </c>
      <c r="L9" s="655" t="n"/>
      <c r="M9" s="655" t="n"/>
    </row>
    <row r="10" ht="15.5" customHeight="1">
      <c r="A10" s="335" t="n"/>
      <c r="B10" s="347" t="n"/>
      <c r="C10" s="669" t="n"/>
      <c r="D10" s="674">
        <f>SUM(D9:D9)</f>
        <v/>
      </c>
      <c r="E10" s="669" t="n"/>
      <c r="F10" s="675">
        <f>F9</f>
        <v/>
      </c>
      <c r="G10" s="350" t="n"/>
      <c r="H10" s="669">
        <f>SUM(H9)</f>
        <v/>
      </c>
      <c r="I10" s="436" t="n"/>
      <c r="J10" s="676">
        <f>SUM(J9)</f>
        <v/>
      </c>
      <c r="L10" s="655" t="n"/>
      <c r="M10" s="655" t="n"/>
    </row>
    <row r="11" ht="15.5" customHeight="1">
      <c r="A11" s="335" t="n"/>
      <c r="B11" s="350" t="inlineStr">
        <is>
          <t>2.1  The details Shareholders holding more than 5% Shares:</t>
        </is>
      </c>
      <c r="C11" s="677" t="n"/>
      <c r="D11" s="677" t="n"/>
      <c r="E11" s="669" t="n"/>
      <c r="F11" s="678" t="n"/>
      <c r="G11" s="350" t="n"/>
      <c r="H11" s="350" t="n"/>
      <c r="I11" s="436" t="n"/>
      <c r="J11" s="427" t="n"/>
      <c r="L11" s="655" t="n"/>
      <c r="M11" s="655" t="n"/>
    </row>
    <row r="12" ht="15.5" customHeight="1">
      <c r="A12" s="335" t="n"/>
      <c r="B12" s="333" t="inlineStr">
        <is>
          <t>Name of the share holder</t>
        </is>
      </c>
      <c r="C12" s="679" t="n"/>
      <c r="D12" s="679" t="n"/>
      <c r="E12" s="664" t="n"/>
      <c r="F12" s="680" t="n"/>
      <c r="G12" s="333" t="n"/>
      <c r="H12" s="333" t="n"/>
      <c r="I12" s="334" t="n"/>
      <c r="J12" s="438" t="n"/>
      <c r="L12" s="655" t="n"/>
      <c r="M12" s="655" t="n"/>
    </row>
    <row r="13" ht="15.5" customHeight="1">
      <c r="A13" s="335" t="n"/>
      <c r="B13" s="350" t="n"/>
      <c r="C13" s="355" t="inlineStr">
        <is>
          <t>No. of shares</t>
        </is>
      </c>
      <c r="D13" s="356" t="inlineStr">
        <is>
          <t>% of Total Shares</t>
        </is>
      </c>
      <c r="E13" s="355" t="inlineStr">
        <is>
          <t>No. of shares</t>
        </is>
      </c>
      <c r="F13" s="357" t="inlineStr">
        <is>
          <t>% of Total Shares</t>
        </is>
      </c>
      <c r="G13" s="350" t="n"/>
      <c r="H13" s="350" t="n"/>
      <c r="I13" s="436" t="n"/>
      <c r="J13" s="426" t="n"/>
      <c r="L13" s="655" t="n"/>
      <c r="M13" s="655" t="n"/>
    </row>
    <row r="14" ht="15.5" customHeight="1">
      <c r="A14" s="358" t="n"/>
      <c r="B14" s="359" t="inlineStr">
        <is>
          <t>Aruna Guggila</t>
        </is>
      </c>
      <c r="C14" s="681">
        <f>E14</f>
        <v/>
      </c>
      <c r="D14" s="682" t="n"/>
      <c r="E14" s="681">
        <f>G14</f>
        <v/>
      </c>
      <c r="F14" s="683">
        <f>H14</f>
        <v/>
      </c>
      <c r="G14" s="363" t="n"/>
      <c r="H14" s="684">
        <f>G14*100/130000</f>
        <v/>
      </c>
      <c r="I14" s="684" t="n"/>
      <c r="J14" s="683">
        <f>I14*100/130000</f>
        <v/>
      </c>
      <c r="L14" s="655" t="n"/>
      <c r="M14" s="655" t="n"/>
    </row>
    <row r="15" ht="15.5" customHeight="1">
      <c r="A15" s="358" t="n"/>
      <c r="B15" s="365" t="inlineStr">
        <is>
          <t>Krishna Guggila</t>
        </is>
      </c>
      <c r="C15" s="681" t="n"/>
      <c r="D15" s="685" t="n"/>
      <c r="E15" s="681">
        <f>G15</f>
        <v/>
      </c>
      <c r="F15" s="683">
        <f>H15</f>
        <v/>
      </c>
      <c r="G15" s="367" t="n"/>
      <c r="H15" s="668">
        <f>G15*100/130000</f>
        <v/>
      </c>
      <c r="I15" s="668" t="n"/>
      <c r="J15" s="672">
        <f>I15*100/130000</f>
        <v/>
      </c>
      <c r="L15" s="655" t="n"/>
      <c r="M15" s="655" t="n"/>
    </row>
    <row r="16" ht="15.5" customHeight="1">
      <c r="A16" s="358" t="n"/>
      <c r="B16" s="365" t="inlineStr">
        <is>
          <t>Krupan Guggila</t>
        </is>
      </c>
      <c r="C16" s="686">
        <f>E16</f>
        <v/>
      </c>
      <c r="D16" s="685" t="n"/>
      <c r="E16" s="686">
        <f>G16</f>
        <v/>
      </c>
      <c r="F16" s="683">
        <f>H16</f>
        <v/>
      </c>
      <c r="G16" s="367" t="n"/>
      <c r="H16" s="668">
        <f>G16*100/130000</f>
        <v/>
      </c>
      <c r="I16" s="668" t="n"/>
      <c r="J16" s="672">
        <f>I16*100/130000</f>
        <v/>
      </c>
      <c r="L16" s="655" t="n"/>
      <c r="M16" s="655" t="n"/>
    </row>
    <row r="17" ht="15.5" customHeight="1">
      <c r="A17" s="358" t="n"/>
      <c r="B17" s="369" t="n"/>
      <c r="C17" s="687" t="n"/>
      <c r="D17" s="687" t="n"/>
      <c r="E17" s="687" t="n"/>
      <c r="F17" s="688" t="n"/>
      <c r="G17" s="372" t="n"/>
      <c r="H17" s="669" t="n"/>
      <c r="I17" s="669" t="n"/>
      <c r="J17" s="673" t="n"/>
      <c r="L17" s="655" t="n"/>
      <c r="M17" s="655" t="n"/>
    </row>
    <row r="18" ht="15.5" customHeight="1">
      <c r="A18" s="335" t="n"/>
      <c r="B18" s="373" t="n"/>
      <c r="C18" s="689" t="n"/>
      <c r="D18" s="689" t="n"/>
      <c r="E18" s="690" t="n"/>
      <c r="F18" s="691" t="n"/>
      <c r="G18" s="373" t="n"/>
      <c r="H18" s="373" t="n"/>
      <c r="I18" s="365" t="n"/>
      <c r="J18" s="439" t="n"/>
      <c r="L18" s="655" t="n"/>
      <c r="M18" s="655" t="n"/>
    </row>
    <row r="19" ht="15.5" customHeight="1">
      <c r="A19" s="335" t="n"/>
      <c r="B19" s="377" t="inlineStr">
        <is>
          <t>2.2  The reconciliation of the number of shares outstanding is set out below:</t>
        </is>
      </c>
      <c r="C19" s="692" t="n"/>
      <c r="D19" s="692" t="n"/>
      <c r="E19" s="687" t="n"/>
      <c r="F19" s="693" t="n"/>
      <c r="G19" s="377" t="n"/>
      <c r="H19" s="377" t="n"/>
      <c r="I19" s="369" t="n"/>
      <c r="J19" s="440" t="n"/>
      <c r="L19" s="655" t="n"/>
      <c r="M19" s="655" t="n"/>
    </row>
    <row r="20" ht="15.5" customHeight="1">
      <c r="A20" s="335" t="n"/>
      <c r="B20" s="373" t="inlineStr">
        <is>
          <t>Equity shares at the beginning of the year</t>
        </is>
      </c>
      <c r="C20" s="689" t="n"/>
      <c r="D20" s="689" t="n"/>
      <c r="E20" s="690">
        <f>G20</f>
        <v/>
      </c>
      <c r="F20" s="691" t="n"/>
      <c r="G20" s="694" t="n"/>
      <c r="H20" s="373" t="n"/>
      <c r="I20" s="683" t="n"/>
      <c r="J20" s="439" t="n"/>
      <c r="L20" s="655" t="n"/>
      <c r="M20" s="655" t="n"/>
    </row>
    <row r="21" ht="15.5" customHeight="1">
      <c r="A21" s="335" t="n"/>
      <c r="B21" s="373" t="inlineStr">
        <is>
          <t>Issued during the year</t>
        </is>
      </c>
      <c r="C21" s="689" t="n"/>
      <c r="D21" s="689" t="n"/>
      <c r="E21" s="695" t="inlineStr">
        <is>
          <t>-</t>
        </is>
      </c>
      <c r="F21" s="691" t="n"/>
      <c r="G21" s="696" t="inlineStr">
        <is>
          <t>-</t>
        </is>
      </c>
      <c r="H21" s="373" t="n"/>
      <c r="I21" s="697" t="inlineStr">
        <is>
          <t>-</t>
        </is>
      </c>
      <c r="J21" s="439" t="n"/>
      <c r="L21" s="655" t="inlineStr">
        <is>
          <t>-</t>
        </is>
      </c>
      <c r="M21" s="655" t="n"/>
    </row>
    <row r="22" ht="15.5" customHeight="1">
      <c r="A22" s="335" t="n"/>
      <c r="B22" s="377" t="inlineStr">
        <is>
          <t>Equity shares at the end of the year</t>
        </is>
      </c>
      <c r="C22" s="692" t="n"/>
      <c r="D22" s="689" t="n"/>
      <c r="E22" s="687">
        <f>E20</f>
        <v/>
      </c>
      <c r="F22" s="693" t="n"/>
      <c r="G22" s="678" t="n"/>
      <c r="H22" s="377" t="n"/>
      <c r="I22" s="673" t="n"/>
      <c r="J22" s="440" t="n"/>
      <c r="L22" s="655" t="n"/>
      <c r="M22" s="655" t="n"/>
    </row>
    <row r="23" ht="15.5" customHeight="1">
      <c r="A23" s="335" t="n"/>
      <c r="B23" s="373" t="n"/>
      <c r="C23" s="689" t="n"/>
      <c r="D23" s="689" t="n"/>
      <c r="E23" s="690" t="n"/>
      <c r="F23" s="691" t="n"/>
      <c r="G23" s="698" t="n"/>
      <c r="H23" s="373" t="n"/>
      <c r="I23" s="668" t="n"/>
      <c r="J23" s="439" t="n"/>
      <c r="L23" s="655" t="n"/>
      <c r="M23" s="655" t="n"/>
    </row>
    <row r="24" ht="15.5" customHeight="1">
      <c r="A24" s="335" t="n"/>
      <c r="B24" s="385" t="inlineStr">
        <is>
          <t>2.3 Discloser of  Shareholding of Promoters* as below</t>
        </is>
      </c>
      <c r="C24" s="699" t="n"/>
      <c r="D24" s="699" t="n"/>
      <c r="E24" s="242" t="n"/>
      <c r="F24" s="58" t="n"/>
      <c r="H24" s="58" t="n"/>
      <c r="I24" s="668" t="n"/>
      <c r="J24" s="439" t="n"/>
      <c r="L24" s="655" t="n"/>
      <c r="M24" s="655" t="n"/>
    </row>
    <row r="25" ht="15.5" customHeight="1">
      <c r="A25" s="335" t="n"/>
      <c r="B25" s="387" t="inlineStr">
        <is>
          <t>Equity Shares held by promoters at the end of the year</t>
        </is>
      </c>
      <c r="C25" s="700" t="n"/>
      <c r="D25" s="700" t="n"/>
      <c r="E25" s="242" t="n"/>
      <c r="F25" s="58" t="n"/>
      <c r="H25" s="58" t="n"/>
      <c r="I25" s="668" t="n"/>
      <c r="J25" s="439" t="n"/>
      <c r="L25" s="655" t="n"/>
      <c r="M25" s="655" t="n"/>
    </row>
    <row r="26" ht="29" customHeight="1">
      <c r="A26" s="335" t="n"/>
      <c r="B26" s="389" t="inlineStr">
        <is>
          <t>S. No. and name of Promoters</t>
        </is>
      </c>
      <c r="C26" s="355" t="inlineStr">
        <is>
          <t>No. of shares</t>
        </is>
      </c>
      <c r="D26" s="356" t="inlineStr">
        <is>
          <t>% of Total Shares</t>
        </is>
      </c>
      <c r="E26" s="355" t="inlineStr">
        <is>
          <t>No. of shares</t>
        </is>
      </c>
      <c r="F26" s="357" t="inlineStr">
        <is>
          <t>% of Total Shares</t>
        </is>
      </c>
      <c r="G26" s="357" t="inlineStr">
        <is>
          <t>% change during the year</t>
        </is>
      </c>
      <c r="H26" s="357" t="n"/>
      <c r="I26" s="668" t="n"/>
      <c r="J26" s="439" t="n"/>
      <c r="L26" s="655" t="n"/>
      <c r="M26" s="655" t="n"/>
    </row>
    <row r="27" ht="15.5" customHeight="1">
      <c r="A27" s="335" t="n"/>
      <c r="B27" s="359" t="inlineStr">
        <is>
          <t>1.  Aruna Guggila</t>
        </is>
      </c>
      <c r="C27" s="161" t="n"/>
      <c r="D27" s="390" t="n"/>
      <c r="E27" s="161" t="n"/>
      <c r="F27" s="391" t="n"/>
      <c r="G27" s="300" t="n"/>
      <c r="H27" s="300" t="n"/>
      <c r="I27" s="668" t="n"/>
      <c r="J27" s="439" t="n"/>
      <c r="L27" s="655" t="n"/>
      <c r="M27" s="655" t="n"/>
    </row>
    <row r="28" ht="15.5" customHeight="1">
      <c r="A28" s="335" t="n"/>
      <c r="B28" s="365" t="inlineStr">
        <is>
          <t>2.  Krishna Guggila</t>
        </is>
      </c>
      <c r="C28" s="50" t="n"/>
      <c r="D28" s="392" t="n"/>
      <c r="E28" s="50" t="n"/>
      <c r="F28" s="393" t="n"/>
      <c r="G28" s="58" t="n"/>
      <c r="H28" s="58" t="n"/>
      <c r="I28" s="668" t="n"/>
      <c r="J28" s="439" t="n"/>
      <c r="L28" s="655" t="n"/>
      <c r="M28" s="655" t="n"/>
    </row>
    <row r="29" ht="15.5" customHeight="1">
      <c r="A29" s="335" t="n"/>
      <c r="B29" s="369" t="inlineStr">
        <is>
          <t>3.  Krupan Guggila</t>
        </is>
      </c>
      <c r="C29" s="292" t="n"/>
      <c r="D29" s="394" t="n"/>
      <c r="E29" s="292" t="n"/>
      <c r="F29" s="395" t="n"/>
      <c r="G29" s="263" t="n"/>
      <c r="H29" s="263" t="n"/>
      <c r="I29" s="668" t="n"/>
      <c r="J29" s="439" t="n"/>
      <c r="L29" s="655" t="n"/>
      <c r="M29" s="655" t="n"/>
    </row>
    <row r="30" ht="15.5" customHeight="1">
      <c r="A30" s="335" t="n"/>
      <c r="B30" s="373" t="n"/>
      <c r="C30" s="689" t="n"/>
      <c r="D30" s="689" t="n"/>
      <c r="E30" s="690" t="n"/>
      <c r="F30" s="691" t="n"/>
      <c r="G30" s="698" t="n"/>
      <c r="H30" s="373" t="n"/>
      <c r="I30" s="668" t="n"/>
      <c r="J30" s="439" t="n"/>
      <c r="L30" s="655" t="n"/>
      <c r="M30" s="655" t="n"/>
    </row>
    <row r="31" ht="15.5" customHeight="1">
      <c r="A31" s="336" t="n"/>
      <c r="B31" s="396" t="inlineStr">
        <is>
          <t>RESERVES AND SURLPUS</t>
        </is>
      </c>
      <c r="C31" s="701" t="n"/>
      <c r="D31" s="701" t="n"/>
      <c r="E31" s="702" t="n"/>
      <c r="F31" s="703" t="n"/>
      <c r="G31" s="396" t="n"/>
      <c r="H31" s="396" t="n"/>
      <c r="I31" s="412" t="n"/>
      <c r="J31" s="442" t="n"/>
      <c r="L31" s="655" t="n"/>
      <c r="M31" s="655" t="n"/>
    </row>
    <row r="32" ht="15.5" customHeight="1">
      <c r="A32" s="335" t="n"/>
      <c r="B32" s="400" t="inlineStr">
        <is>
          <t>Share premium account</t>
        </is>
      </c>
      <c r="C32" s="704" t="n"/>
      <c r="D32" s="704" t="n"/>
      <c r="E32" s="704" t="n"/>
      <c r="F32" s="705" t="n"/>
      <c r="G32" s="403" t="n"/>
      <c r="H32" s="404" t="n"/>
      <c r="I32" s="404" t="n"/>
      <c r="J32" s="400" t="n"/>
      <c r="L32" s="655" t="n"/>
      <c r="M32" s="655" t="n"/>
    </row>
    <row r="33" ht="15.5" customHeight="1">
      <c r="A33" s="335" t="n"/>
      <c r="B33" s="405" t="inlineStr">
        <is>
          <t>As per last Balance Sheet</t>
        </is>
      </c>
      <c r="C33" s="689" t="n"/>
      <c r="D33" s="687" t="n"/>
      <c r="E33" s="690">
        <f>'Trial Bal'!C14</f>
        <v/>
      </c>
      <c r="F33" s="688" t="n"/>
      <c r="G33" s="343">
        <f>[1]TB2021!O65</f>
        <v/>
      </c>
      <c r="H33" s="365" t="n"/>
      <c r="I33" s="695" t="n"/>
      <c r="J33" s="405" t="n"/>
      <c r="L33" s="655" t="n"/>
      <c r="M33" s="655" t="n"/>
    </row>
    <row r="34" ht="15.5" customHeight="1">
      <c r="A34" s="335" t="n"/>
      <c r="B34" s="405" t="inlineStr">
        <is>
          <t>As at Year End</t>
        </is>
      </c>
      <c r="C34" s="690" t="n"/>
      <c r="D34" s="690">
        <f>C33</f>
        <v/>
      </c>
      <c r="E34" s="690" t="n"/>
      <c r="F34" s="706">
        <f>E33</f>
        <v/>
      </c>
      <c r="G34" s="373" t="n"/>
      <c r="H34" s="695" t="n"/>
      <c r="I34" s="707" t="n"/>
      <c r="J34" s="444" t="n"/>
      <c r="L34" s="655" t="n"/>
      <c r="M34" s="655" t="n"/>
    </row>
    <row r="35" ht="15.5" customHeight="1">
      <c r="A35" s="335" t="n"/>
      <c r="B35" s="407" t="n"/>
      <c r="C35" s="684" t="n"/>
      <c r="D35" s="684" t="n"/>
      <c r="E35" s="684" t="n"/>
      <c r="F35" s="683" t="n"/>
      <c r="G35" s="408" t="n"/>
      <c r="H35" s="409" t="n"/>
      <c r="I35" s="684" t="n"/>
      <c r="J35" s="683" t="n"/>
      <c r="L35" s="655" t="n"/>
      <c r="M35" s="655" t="n"/>
    </row>
    <row r="36" ht="15.5" customHeight="1">
      <c r="A36" s="335" t="n"/>
      <c r="B36" s="410" t="inlineStr">
        <is>
          <t>Profit and loss account</t>
        </is>
      </c>
      <c r="C36" s="702" t="n"/>
      <c r="D36" s="702" t="n"/>
      <c r="E36" s="702" t="n"/>
      <c r="F36" s="708" t="n"/>
      <c r="G36" s="396" t="n"/>
      <c r="H36" s="412" t="n"/>
      <c r="I36" s="702" t="n"/>
      <c r="J36" s="708" t="n"/>
      <c r="L36" s="655" t="n"/>
      <c r="M36" s="655" t="n"/>
    </row>
    <row r="37" ht="15.5" customHeight="1">
      <c r="A37" s="335" t="n"/>
      <c r="B37" s="335" t="inlineStr">
        <is>
          <t>As per last Balance sheet</t>
        </is>
      </c>
      <c r="C37" s="668" t="n"/>
      <c r="D37" s="668" t="n"/>
      <c r="E37" s="668">
        <f>H40</f>
        <v/>
      </c>
      <c r="F37" s="672" t="n"/>
      <c r="G37" s="698">
        <f>[1]TB2021!O64</f>
        <v/>
      </c>
      <c r="H37" s="668" t="n"/>
      <c r="I37" s="668">
        <f>'[1]TB 2020'!C15</f>
        <v/>
      </c>
      <c r="J37" s="672" t="n"/>
      <c r="L37" s="709" t="n"/>
      <c r="M37" s="655" t="n"/>
    </row>
    <row r="38" ht="15.5" customHeight="1">
      <c r="A38" s="335" t="n"/>
      <c r="B38" s="272" t="inlineStr">
        <is>
          <t xml:space="preserve">Add:Appropriations- GST refund received </t>
        </is>
      </c>
      <c r="C38" s="690" t="n"/>
      <c r="D38" s="690" t="n"/>
      <c r="E38" s="690" t="n"/>
      <c r="F38" s="710" t="n"/>
      <c r="G38" s="689" t="n"/>
      <c r="H38" s="690" t="n"/>
      <c r="I38" s="690" t="n"/>
      <c r="J38" s="710" t="n"/>
      <c r="L38" s="655" t="n"/>
      <c r="M38" s="655" t="n"/>
    </row>
    <row r="39" ht="15.5" customHeight="1">
      <c r="A39" s="335" t="n"/>
      <c r="B39" s="335" t="inlineStr">
        <is>
          <t>Add: Profit for the year</t>
        </is>
      </c>
      <c r="C39" s="668">
        <f>'P&amp;L'!C24</f>
        <v/>
      </c>
      <c r="D39" s="668" t="n"/>
      <c r="E39" s="668">
        <f>'P&amp;L'!D24</f>
        <v/>
      </c>
      <c r="F39" s="672" t="n"/>
      <c r="G39" s="698">
        <f>[1]PL!C25</f>
        <v/>
      </c>
      <c r="H39" s="668" t="n"/>
      <c r="I39" s="668">
        <f>[1]PL!D25</f>
        <v/>
      </c>
      <c r="J39" s="672" t="n"/>
      <c r="L39" s="655" t="n"/>
      <c r="M39" s="655" t="n"/>
    </row>
    <row r="40" ht="15.5" customHeight="1">
      <c r="A40" s="335" t="n"/>
      <c r="B40" s="335" t="inlineStr">
        <is>
          <t>Less: IT Paid of earlier year</t>
        </is>
      </c>
      <c r="C40" s="672" t="n"/>
      <c r="D40" s="668" t="n"/>
      <c r="E40" s="672">
        <f>'Trial Bal'!B88</f>
        <v/>
      </c>
      <c r="F40" s="672">
        <f>E39+E37-E40</f>
        <v/>
      </c>
      <c r="G40" s="711" t="n"/>
      <c r="H40" s="669">
        <f>G37+G39</f>
        <v/>
      </c>
      <c r="I40" s="672" t="n"/>
      <c r="J40" s="672" t="n"/>
      <c r="L40" s="655" t="n"/>
      <c r="M40" s="655" t="n"/>
    </row>
    <row r="41" ht="15.5" customHeight="1">
      <c r="A41" s="335" t="n"/>
      <c r="B41" s="347" t="n"/>
      <c r="C41" s="673" t="n"/>
      <c r="D41" s="660">
        <f>C37+C39-C40+D34</f>
        <v/>
      </c>
      <c r="E41" s="673" t="n"/>
      <c r="F41" s="712">
        <f>F40+F34</f>
        <v/>
      </c>
      <c r="G41" s="678" t="n"/>
      <c r="H41" s="713">
        <f>SUM(H34:H40)</f>
        <v/>
      </c>
      <c r="I41" s="673" t="n"/>
      <c r="J41" s="676">
        <f>I37+I39+I38+I40+J34</f>
        <v/>
      </c>
      <c r="L41" s="655" t="n"/>
      <c r="M41" s="655" t="n"/>
    </row>
    <row r="42" ht="15.5" customHeight="1">
      <c r="A42" s="336" t="n"/>
      <c r="B42" s="417" t="inlineStr">
        <is>
          <t>LONG TERM BORROWINGS</t>
        </is>
      </c>
      <c r="C42" s="714" t="n"/>
      <c r="D42" s="714" t="n"/>
      <c r="E42" s="674" t="n"/>
      <c r="F42" s="715" t="n"/>
      <c r="G42" s="417" t="n"/>
      <c r="H42" s="417" t="n"/>
      <c r="I42" s="674" t="n"/>
      <c r="J42" s="715" t="n"/>
      <c r="L42" s="655" t="n"/>
      <c r="M42" s="655" t="n"/>
    </row>
    <row r="43" ht="15.5" customHeight="1">
      <c r="A43" s="335" t="n"/>
      <c r="B43" s="343" t="n"/>
      <c r="C43" s="716" t="inlineStr">
        <is>
          <t>Non Current</t>
        </is>
      </c>
      <c r="D43" s="717" t="inlineStr">
        <is>
          <t>Current</t>
        </is>
      </c>
      <c r="E43" s="716" t="inlineStr">
        <is>
          <t>Non Current</t>
        </is>
      </c>
      <c r="F43" s="716" t="inlineStr">
        <is>
          <t>Current</t>
        </is>
      </c>
      <c r="G43" s="420" t="inlineStr">
        <is>
          <t xml:space="preserve">Non </t>
        </is>
      </c>
      <c r="H43" s="718" t="inlineStr">
        <is>
          <t>Current</t>
        </is>
      </c>
      <c r="I43" s="458" t="inlineStr">
        <is>
          <t xml:space="preserve">Non </t>
        </is>
      </c>
      <c r="J43" s="719" t="inlineStr">
        <is>
          <t>Current</t>
        </is>
      </c>
      <c r="L43" s="655" t="inlineStr">
        <is>
          <t xml:space="preserve">Non </t>
        </is>
      </c>
      <c r="M43" s="655" t="inlineStr">
        <is>
          <t>Current</t>
        </is>
      </c>
    </row>
    <row r="44" ht="15.5" customHeight="1">
      <c r="A44" s="335" t="n"/>
      <c r="B44" s="350" t="n"/>
      <c r="C44" s="292" t="n"/>
      <c r="D44" s="256" t="n"/>
      <c r="E44" s="292" t="n"/>
      <c r="F44" s="292" t="n"/>
      <c r="G44" s="422" t="inlineStr">
        <is>
          <t>Current</t>
        </is>
      </c>
      <c r="H44" s="720" t="n"/>
      <c r="I44" s="460" t="inlineStr">
        <is>
          <t>Current</t>
        </is>
      </c>
      <c r="J44" s="721" t="n"/>
      <c r="L44" s="655" t="inlineStr">
        <is>
          <t>Current</t>
        </is>
      </c>
      <c r="M44" s="655" t="n"/>
    </row>
    <row r="45" ht="15.5" customHeight="1">
      <c r="A45" s="335" t="n"/>
      <c r="B45" s="336" t="inlineStr">
        <is>
          <t>Unsecured</t>
        </is>
      </c>
      <c r="C45" s="667" t="n"/>
      <c r="D45" s="666" t="n"/>
      <c r="E45" s="667" t="n"/>
      <c r="F45" s="667" t="n"/>
      <c r="G45" s="424" t="n"/>
      <c r="H45" s="339" t="n"/>
      <c r="I45" s="667" t="n"/>
      <c r="J45" s="667" t="n"/>
      <c r="L45" s="655" t="n"/>
      <c r="M45" s="655" t="n"/>
    </row>
    <row r="46" ht="15.5" customHeight="1">
      <c r="A46" s="335" t="n"/>
      <c r="B46" s="335" t="inlineStr">
        <is>
          <t xml:space="preserve">Loans from directors </t>
        </is>
      </c>
      <c r="C46" s="672">
        <f>'TB2023'!C13</f>
        <v/>
      </c>
      <c r="D46" s="668" t="n"/>
      <c r="E46" s="672">
        <f>'Trial Bal'!C15</f>
        <v/>
      </c>
      <c r="F46" s="672" t="n"/>
      <c r="G46" s="678">
        <f>'[1]Sub Grouping'!B7</f>
        <v/>
      </c>
      <c r="H46" s="358" t="n"/>
      <c r="I46" s="672">
        <f>'[1]Sub Grouping'!C7</f>
        <v/>
      </c>
      <c r="J46" s="672" t="n"/>
      <c r="L46" s="655" t="n"/>
      <c r="M46" s="655" t="n"/>
    </row>
    <row r="47" ht="15.5" customHeight="1">
      <c r="A47" s="335" t="n"/>
      <c r="B47" s="335" t="n"/>
      <c r="C47" s="712">
        <f>SUM(C46:C46)</f>
        <v/>
      </c>
      <c r="D47" s="668" t="n"/>
      <c r="E47" s="712">
        <f>E46</f>
        <v/>
      </c>
      <c r="F47" s="672" t="n"/>
      <c r="G47" s="722">
        <f>SUM(G46)</f>
        <v/>
      </c>
      <c r="H47" s="358" t="n"/>
      <c r="I47" s="676">
        <f>SUM(I46)</f>
        <v/>
      </c>
      <c r="J47" s="672" t="n"/>
      <c r="L47" s="655" t="n"/>
      <c r="M47" s="655" t="n"/>
    </row>
    <row r="48" ht="15.5" customHeight="1">
      <c r="A48" s="339" t="n"/>
      <c r="B48" s="330" t="inlineStr">
        <is>
          <t>TRADE PAYABLES</t>
        </is>
      </c>
      <c r="C48" s="667" t="n"/>
      <c r="D48" s="666" t="n"/>
      <c r="E48" s="667" t="n"/>
      <c r="F48" s="667" t="n"/>
      <c r="G48" s="424" t="n"/>
      <c r="H48" s="339" t="n"/>
      <c r="I48" s="667" t="n"/>
      <c r="J48" s="667" t="n"/>
      <c r="L48" s="655" t="n"/>
      <c r="M48" s="655" t="n"/>
    </row>
    <row r="49" ht="15.5" customHeight="1">
      <c r="A49" s="358" t="n"/>
      <c r="B49" s="335" t="inlineStr">
        <is>
          <t>Micro, Small and Medium Enterprises</t>
        </is>
      </c>
      <c r="C49" s="672" t="n"/>
      <c r="D49" s="668" t="n"/>
      <c r="E49" s="672" t="n"/>
      <c r="F49" s="672" t="n"/>
      <c r="G49" s="426" t="n"/>
      <c r="H49" s="668" t="n"/>
      <c r="I49" s="672" t="n"/>
      <c r="J49" s="672" t="inlineStr">
        <is>
          <t>-</t>
        </is>
      </c>
      <c r="L49" s="655" t="n"/>
      <c r="M49" s="655" t="inlineStr">
        <is>
          <t>-</t>
        </is>
      </c>
    </row>
    <row r="50" ht="15.5" customHeight="1">
      <c r="A50" s="358" t="n"/>
      <c r="B50" s="335" t="inlineStr">
        <is>
          <t>Others</t>
        </is>
      </c>
      <c r="C50" s="672" t="n"/>
      <c r="D50" s="668">
        <f>'TB2023'!C16</f>
        <v/>
      </c>
      <c r="E50" s="672" t="n"/>
      <c r="F50" s="672">
        <f>'Trial Bal'!C27</f>
        <v/>
      </c>
      <c r="G50" s="426" t="n"/>
      <c r="H50" s="669">
        <f>[1]TB2021!O77</f>
        <v/>
      </c>
      <c r="I50" s="672" t="n"/>
      <c r="J50" s="672">
        <f>'[1]TB 2020'!C27</f>
        <v/>
      </c>
      <c r="L50" s="655" t="n"/>
      <c r="M50" s="655" t="n"/>
    </row>
    <row r="51" ht="15.5" customHeight="1">
      <c r="A51" s="358" t="n"/>
      <c r="B51" s="347" t="n"/>
      <c r="C51" s="673" t="n"/>
      <c r="D51" s="660">
        <f>SUM(D50:D50)</f>
        <v/>
      </c>
      <c r="E51" s="673" t="n"/>
      <c r="F51" s="712">
        <f>F50</f>
        <v/>
      </c>
      <c r="G51" s="427" t="n"/>
      <c r="H51" s="669">
        <f>SUM(H49:H50)</f>
        <v/>
      </c>
      <c r="I51" s="673" t="n"/>
      <c r="J51" s="676">
        <f>SUM(J50)</f>
        <v/>
      </c>
      <c r="L51" s="655" t="n"/>
      <c r="M51" s="655" t="n"/>
    </row>
    <row r="52" ht="15.5" customHeight="1">
      <c r="A52" s="358" t="n"/>
      <c r="B52" s="407" t="inlineStr">
        <is>
          <t xml:space="preserve">5.1  The details of amount outstanding to Micro, Small and Medium Enterprises </t>
        </is>
      </c>
      <c r="C52" s="672" t="n"/>
      <c r="D52" s="668" t="n"/>
      <c r="E52" s="672" t="n"/>
      <c r="F52" s="672" t="n"/>
      <c r="G52" s="426" t="n"/>
      <c r="H52" s="358" t="n"/>
      <c r="I52" s="672" t="n"/>
      <c r="J52" s="672" t="n"/>
      <c r="L52" s="655" t="n"/>
      <c r="M52" s="655" t="n"/>
    </row>
    <row r="53" ht="15.5" customHeight="1">
      <c r="A53" s="358" t="n"/>
      <c r="B53" s="335" t="inlineStr">
        <is>
          <t>based on available information with the company.</t>
        </is>
      </c>
      <c r="C53" s="672" t="n"/>
      <c r="D53" s="668" t="n"/>
      <c r="E53" s="672" t="n"/>
      <c r="F53" s="672" t="n"/>
      <c r="G53" s="426" t="n"/>
      <c r="H53" s="358" t="n"/>
      <c r="I53" s="672" t="n"/>
      <c r="J53" s="672" t="n"/>
      <c r="L53" s="655" t="n"/>
      <c r="M53" s="655" t="n"/>
    </row>
    <row r="54" ht="15.5" customHeight="1">
      <c r="A54" s="358" t="n"/>
      <c r="B54" s="335" t="n"/>
      <c r="C54" s="672" t="n"/>
      <c r="D54" s="668" t="n"/>
      <c r="E54" s="672" t="n"/>
      <c r="F54" s="672" t="n"/>
      <c r="G54" s="426" t="n"/>
      <c r="H54" s="358" t="n"/>
      <c r="I54" s="672" t="n"/>
      <c r="J54" s="672" t="n"/>
      <c r="L54" s="655" t="n"/>
      <c r="M54" s="655" t="n"/>
    </row>
    <row r="55" ht="15.5" customHeight="1">
      <c r="A55" s="358" t="n"/>
      <c r="B55" s="428" t="n"/>
      <c r="C55" s="683" t="n"/>
      <c r="D55" s="684" t="n"/>
      <c r="E55" s="683" t="n"/>
      <c r="F55" s="683" t="n"/>
      <c r="G55" s="429" t="n"/>
      <c r="H55" s="409" t="n"/>
      <c r="I55" s="683" t="n"/>
      <c r="J55" s="683" t="n"/>
      <c r="L55" s="655" t="n"/>
      <c r="M55" s="655" t="n"/>
    </row>
    <row r="56" ht="15.5" customHeight="1">
      <c r="A56" s="339" t="n"/>
      <c r="B56" s="330" t="inlineStr">
        <is>
          <t>OTHER CURRENT LAIBILITIES</t>
        </is>
      </c>
      <c r="C56" s="667" t="n"/>
      <c r="D56" s="723" t="n"/>
      <c r="E56" s="724" t="n"/>
      <c r="F56" s="667" t="n"/>
      <c r="G56" s="424" t="n"/>
      <c r="H56" s="339" t="n"/>
      <c r="I56" s="667" t="n"/>
      <c r="J56" s="667" t="n"/>
      <c r="L56" s="655" t="n"/>
      <c r="M56" s="655" t="n"/>
    </row>
    <row r="57" ht="15.5" customHeight="1">
      <c r="A57" s="339" t="n"/>
      <c r="B57" s="335" t="inlineStr">
        <is>
          <t>Provision for Income Tax</t>
        </is>
      </c>
      <c r="C57" s="672" t="n"/>
      <c r="D57" s="668" t="n"/>
      <c r="E57" s="672" t="n"/>
      <c r="F57" s="672" t="n"/>
      <c r="G57" s="426" t="n"/>
      <c r="H57" s="358" t="n"/>
      <c r="I57" s="672" t="n"/>
      <c r="J57" s="672" t="n"/>
      <c r="L57" s="655" t="n"/>
      <c r="M57" s="655" t="n"/>
    </row>
    <row r="58" ht="15.5" customHeight="1">
      <c r="A58" s="339" t="n"/>
      <c r="B58" s="335" t="inlineStr">
        <is>
          <t>Advance received against supplies</t>
        </is>
      </c>
      <c r="C58" s="672" t="n"/>
      <c r="D58" s="668">
        <f>'TB2023'!C25</f>
        <v/>
      </c>
      <c r="E58" s="672" t="n"/>
      <c r="F58" s="672">
        <f>'Trial Bal'!C44</f>
        <v/>
      </c>
      <c r="G58" s="426" t="n"/>
      <c r="H58" s="668">
        <f>[1]TB2021!O130</f>
        <v/>
      </c>
      <c r="I58" s="672" t="n"/>
      <c r="J58" s="672" t="n"/>
      <c r="L58" s="655" t="n"/>
      <c r="M58" s="655" t="n"/>
    </row>
    <row r="59" ht="15.5" customHeight="1">
      <c r="A59" s="358" t="n"/>
      <c r="B59" s="335" t="inlineStr">
        <is>
          <t>Other Payables*</t>
        </is>
      </c>
      <c r="C59" s="672" t="n"/>
      <c r="D59" s="668">
        <f>'Sub Grouping'!D8</f>
        <v/>
      </c>
      <c r="E59" s="672" t="n"/>
      <c r="F59" s="672">
        <f>'Sub Grouping'!E8</f>
        <v/>
      </c>
      <c r="G59" s="426" t="n"/>
      <c r="H59" s="669">
        <f>'[1]Sub Grouping'!B14</f>
        <v/>
      </c>
      <c r="I59" s="672" t="n"/>
      <c r="J59" s="672">
        <f>'[1]Sub Grouping'!C14</f>
        <v/>
      </c>
      <c r="L59" s="655" t="n"/>
      <c r="M59" s="655" t="n"/>
    </row>
    <row r="60" ht="15.5" customHeight="1">
      <c r="A60" s="358" t="n"/>
      <c r="B60" s="347" t="n"/>
      <c r="C60" s="672" t="n"/>
      <c r="D60" s="725">
        <f>SUM(D56:D59)</f>
        <v/>
      </c>
      <c r="E60" s="672" t="n"/>
      <c r="F60" s="712">
        <f>SUM(F57:F59)</f>
        <v/>
      </c>
      <c r="G60" s="426" t="n"/>
      <c r="H60" s="726">
        <f>SUM(H58:H59)</f>
        <v/>
      </c>
      <c r="I60" s="672" t="n"/>
      <c r="J60" s="676">
        <f>SUM(J57:J59)</f>
        <v/>
      </c>
      <c r="L60" s="655" t="n"/>
      <c r="M60" s="655" t="n"/>
    </row>
    <row r="61" ht="15.5" customHeight="1">
      <c r="A61" s="358" t="n"/>
      <c r="B61" s="335" t="inlineStr">
        <is>
          <t>* Includes statutory dues,advances from customers, provision for expenses, TCS TDS payable, etc</t>
        </is>
      </c>
      <c r="C61" s="672" t="n"/>
      <c r="D61" s="668" t="n"/>
      <c r="E61" s="672" t="n"/>
      <c r="F61" s="672" t="n"/>
      <c r="G61" s="426" t="n"/>
      <c r="H61" s="358" t="n"/>
      <c r="I61" s="672" t="n"/>
      <c r="J61" s="672" t="n"/>
      <c r="L61" s="655" t="n"/>
      <c r="M61" s="655" t="n"/>
    </row>
    <row r="62" ht="15.5" customHeight="1">
      <c r="A62" s="339" t="n"/>
      <c r="B62" s="336" t="inlineStr">
        <is>
          <t>NON CURRENT INVESTMENTS</t>
        </is>
      </c>
      <c r="C62" s="667" t="n"/>
      <c r="D62" s="666" t="n"/>
      <c r="E62" s="667" t="n"/>
      <c r="F62" s="667" t="n"/>
      <c r="G62" s="424" t="n"/>
      <c r="H62" s="339" t="n"/>
      <c r="I62" s="667" t="n"/>
      <c r="J62" s="667" t="n"/>
      <c r="L62" s="655" t="n"/>
      <c r="M62" s="655" t="n"/>
    </row>
    <row r="63" ht="15.5" customHeight="1">
      <c r="A63" s="358" t="n"/>
      <c r="B63" s="335" t="inlineStr">
        <is>
          <t>FDR with ICICI BANK LTD.</t>
        </is>
      </c>
      <c r="C63" s="672" t="n"/>
      <c r="D63" s="668" t="n"/>
      <c r="E63" s="672" t="n"/>
      <c r="F63" s="672" t="n"/>
      <c r="G63" s="426" t="n"/>
      <c r="H63" s="358" t="n"/>
      <c r="I63" s="672" t="n"/>
      <c r="J63" s="672">
        <f>'[1]TB 2020'!B60</f>
        <v/>
      </c>
      <c r="L63" s="655" t="n"/>
      <c r="M63" s="655" t="n"/>
    </row>
    <row r="64" ht="15.5" customHeight="1">
      <c r="A64" s="358" t="n"/>
      <c r="B64" s="335" t="inlineStr">
        <is>
          <t>(Under Lien to ICICI Bank against gold purchase)</t>
        </is>
      </c>
      <c r="C64" s="672" t="n"/>
      <c r="D64" s="668" t="n"/>
      <c r="E64" s="672" t="n"/>
      <c r="F64" s="672" t="n"/>
      <c r="G64" s="426" t="n"/>
      <c r="H64" s="358" t="n"/>
      <c r="I64" s="672" t="n"/>
      <c r="J64" s="672" t="n"/>
      <c r="L64" s="655" t="n"/>
      <c r="M64" s="655" t="n"/>
    </row>
    <row r="65" ht="15.5" customHeight="1">
      <c r="A65" s="358" t="n"/>
      <c r="B65" s="335" t="n"/>
      <c r="C65" s="672" t="n"/>
      <c r="D65" s="668" t="n"/>
      <c r="E65" s="672" t="n"/>
      <c r="F65" s="672" t="n"/>
      <c r="G65" s="426" t="n"/>
      <c r="H65" s="358" t="n"/>
      <c r="I65" s="672" t="n"/>
      <c r="J65" s="676">
        <f>SUM(J63:J64)</f>
        <v/>
      </c>
      <c r="L65" s="655" t="n"/>
      <c r="M65" s="655" t="n"/>
    </row>
    <row r="66" ht="15.5" customHeight="1">
      <c r="A66" s="339" t="n"/>
      <c r="B66" s="330" t="inlineStr">
        <is>
          <t>LONG TERM LOANS AND ADVANCES</t>
        </is>
      </c>
      <c r="C66" s="667" t="n"/>
      <c r="D66" s="666" t="n"/>
      <c r="E66" s="667" t="n"/>
      <c r="F66" s="667" t="n"/>
      <c r="G66" s="424" t="n"/>
      <c r="H66" s="339" t="n"/>
      <c r="I66" s="667" t="n"/>
      <c r="J66" s="667" t="n"/>
      <c r="L66" s="655" t="n"/>
      <c r="M66" s="655" t="n"/>
    </row>
    <row r="67" ht="15.5" customHeight="1">
      <c r="A67" s="339" t="n"/>
      <c r="B67" s="463" t="inlineStr">
        <is>
          <t>Pradhan Mantri Garib Kalyan Deposit Scheme</t>
        </is>
      </c>
      <c r="C67" s="672" t="n"/>
      <c r="D67" s="668" t="n"/>
      <c r="E67" s="672" t="n"/>
      <c r="F67" s="672" t="n"/>
      <c r="G67" s="464" t="n"/>
      <c r="H67" s="465" t="n"/>
      <c r="I67" s="672" t="n"/>
      <c r="J67" s="672">
        <f>'[1]TB 2020'!B57</f>
        <v/>
      </c>
      <c r="L67" s="655" t="n"/>
      <c r="M67" s="655" t="n"/>
    </row>
    <row r="68" ht="15.5" customHeight="1">
      <c r="A68" s="358" t="n"/>
      <c r="B68" s="335" t="inlineStr">
        <is>
          <t>Rent Deposit</t>
        </is>
      </c>
      <c r="C68" s="672" t="n"/>
      <c r="D68" s="668" t="n"/>
      <c r="E68" s="672" t="n"/>
      <c r="F68" s="672" t="n"/>
      <c r="G68" s="426" t="n"/>
      <c r="H68" s="669">
        <f>'[1]Sub Grouping'!B19</f>
        <v/>
      </c>
      <c r="I68" s="672" t="n"/>
      <c r="J68" s="672">
        <f>'[1]TB 2020'!B58</f>
        <v/>
      </c>
      <c r="L68" s="655" t="n"/>
      <c r="M68" s="655" t="n"/>
    </row>
    <row r="69" ht="15.5" customHeight="1">
      <c r="A69" s="347" t="n"/>
      <c r="B69" s="347" t="n"/>
      <c r="C69" s="673" t="n"/>
      <c r="D69" s="669" t="n"/>
      <c r="E69" s="673" t="n"/>
      <c r="F69" s="727" t="n"/>
      <c r="G69" s="427" t="n"/>
      <c r="H69" s="669">
        <f>SUM(H68)</f>
        <v/>
      </c>
      <c r="I69" s="673" t="n"/>
      <c r="J69" s="728">
        <f>SUM(J67:J68)</f>
        <v/>
      </c>
      <c r="L69" s="655" t="n"/>
      <c r="M69" s="655" t="n"/>
    </row>
    <row r="70" ht="15.5" customHeight="1">
      <c r="A70" s="339" t="n"/>
      <c r="B70" s="330" t="inlineStr">
        <is>
          <t>INVENTORIES</t>
        </is>
      </c>
      <c r="C70" s="665" t="n"/>
      <c r="D70" s="664" t="n"/>
      <c r="E70" s="665" t="n"/>
      <c r="F70" s="665" t="n"/>
      <c r="G70" s="438" t="n"/>
      <c r="H70" s="664" t="n"/>
      <c r="I70" s="665" t="n"/>
      <c r="J70" s="665" t="n"/>
      <c r="L70" s="655" t="n"/>
      <c r="M70" s="655" t="n"/>
    </row>
    <row r="71" ht="15.5" customHeight="1">
      <c r="A71" s="358" t="n"/>
      <c r="B71" s="335" t="inlineStr">
        <is>
          <t>Stock in Trade</t>
        </is>
      </c>
      <c r="D71" s="668">
        <f>'TB2023'!B24</f>
        <v/>
      </c>
      <c r="E71" s="672" t="n"/>
      <c r="F71" s="672">
        <f>F99</f>
        <v/>
      </c>
      <c r="G71" s="426" t="n"/>
      <c r="H71" s="669">
        <f>H99</f>
        <v/>
      </c>
      <c r="I71" s="672" t="n"/>
      <c r="J71" s="672">
        <f>[1]BS!D23</f>
        <v/>
      </c>
      <c r="L71" s="655" t="n"/>
      <c r="M71" s="655" t="n"/>
    </row>
    <row r="72" ht="15.5" customHeight="1">
      <c r="A72" s="358" t="n"/>
      <c r="B72" s="347" t="n"/>
      <c r="C72" s="672" t="n"/>
      <c r="D72" s="660">
        <f>SUM(D71:D71)</f>
        <v/>
      </c>
      <c r="E72" s="672" t="n"/>
      <c r="F72" s="712">
        <f>F71</f>
        <v/>
      </c>
      <c r="G72" s="426" t="n"/>
      <c r="H72" s="669">
        <f>SUM(H71)</f>
        <v/>
      </c>
      <c r="I72" s="672" t="n"/>
      <c r="J72" s="676">
        <f>SUM(J71)</f>
        <v/>
      </c>
      <c r="L72" s="655" t="n"/>
      <c r="M72" s="655" t="n"/>
    </row>
    <row r="73" ht="15.5" customHeight="1">
      <c r="A73" s="358" t="n"/>
      <c r="B73" s="335" t="inlineStr">
        <is>
          <t>TRADE RECEIVABLES</t>
        </is>
      </c>
      <c r="C73" s="672" t="n"/>
      <c r="D73" s="668" t="n"/>
      <c r="E73" s="672" t="n"/>
      <c r="F73" s="672" t="n"/>
      <c r="G73" s="426" t="n"/>
      <c r="H73" s="358" t="n"/>
      <c r="I73" s="672" t="n"/>
      <c r="J73" s="672" t="n"/>
      <c r="L73" s="655" t="n"/>
      <c r="M73" s="655" t="n"/>
    </row>
    <row r="74" ht="15.5" customHeight="1">
      <c r="A74" s="358" t="n"/>
      <c r="B74" s="335" t="inlineStr">
        <is>
          <t>Exceeding six months</t>
        </is>
      </c>
      <c r="C74" s="672" t="n"/>
      <c r="D74" s="668" t="n"/>
      <c r="E74" s="672" t="n"/>
      <c r="F74" s="672" t="n"/>
      <c r="G74" s="426" t="n"/>
      <c r="H74" s="358" t="n"/>
      <c r="I74" s="672" t="n"/>
      <c r="J74" s="672">
        <f>'[1]TB 2020'!B49</f>
        <v/>
      </c>
      <c r="L74" s="655" t="n"/>
      <c r="M74" s="655" t="n"/>
    </row>
    <row r="75" ht="15.5" customHeight="1">
      <c r="A75" s="358" t="n"/>
      <c r="B75" s="335" t="inlineStr">
        <is>
          <t>Others</t>
        </is>
      </c>
      <c r="C75" s="672" t="n"/>
      <c r="D75" s="690">
        <f>'TB2023'!B25</f>
        <v/>
      </c>
      <c r="E75" s="672" t="n"/>
      <c r="F75" s="672">
        <f>'Trial Bal'!B44</f>
        <v/>
      </c>
      <c r="G75" s="426" t="n"/>
      <c r="H75" s="358" t="n"/>
      <c r="I75" s="672" t="n"/>
      <c r="J75" s="729" t="n"/>
      <c r="L75" s="655" t="n"/>
      <c r="M75" s="655" t="n"/>
    </row>
    <row r="76" ht="15.5" customHeight="1">
      <c r="A76" s="358" t="n"/>
      <c r="B76" s="335" t="inlineStr">
        <is>
          <t>( Considered goodfor recovery)</t>
        </is>
      </c>
      <c r="C76" s="672" t="n"/>
      <c r="D76" s="660">
        <f>SUM(D75:D75)</f>
        <v/>
      </c>
      <c r="E76" s="672" t="n"/>
      <c r="F76" s="727">
        <f>SUM(F74:F75)</f>
        <v/>
      </c>
      <c r="G76" s="426" t="n"/>
      <c r="H76" s="358" t="n"/>
      <c r="I76" s="672" t="n"/>
      <c r="J76" s="676">
        <f>SUM(J74:J74)</f>
        <v/>
      </c>
      <c r="L76" s="655" t="n"/>
      <c r="M76" s="655" t="n"/>
    </row>
    <row r="77" ht="15.5" customHeight="1">
      <c r="A77" s="358" t="n"/>
      <c r="B77" s="407" t="n"/>
      <c r="C77" s="672" t="n"/>
      <c r="D77" s="668" t="n"/>
      <c r="E77" s="672" t="n"/>
      <c r="F77" s="672" t="n"/>
      <c r="G77" s="426" t="n"/>
      <c r="H77" s="358" t="n"/>
      <c r="I77" s="672" t="n"/>
      <c r="J77" s="672" t="n"/>
      <c r="L77" s="655" t="n"/>
      <c r="M77" s="655" t="n"/>
    </row>
    <row r="78" ht="15.5" customHeight="1">
      <c r="A78" s="339" t="n"/>
      <c r="B78" s="336" t="inlineStr">
        <is>
          <t>CASH AND BANK BALANCES</t>
        </is>
      </c>
      <c r="C78" s="667" t="n"/>
      <c r="D78" s="666" t="n"/>
      <c r="E78" s="667" t="n"/>
      <c r="F78" s="667" t="n"/>
      <c r="G78" s="424" t="n"/>
      <c r="H78" s="339" t="n"/>
      <c r="I78" s="667" t="n"/>
      <c r="J78" s="667" t="n"/>
      <c r="L78" s="655" t="n"/>
      <c r="M78" s="655" t="n"/>
    </row>
    <row r="79" ht="15.5" customHeight="1">
      <c r="A79" s="358" t="n"/>
      <c r="B79" s="335" t="inlineStr">
        <is>
          <t>Balance with Banks</t>
        </is>
      </c>
      <c r="C79" s="672" t="n"/>
      <c r="D79" s="668">
        <f>'TB2023'!B27</f>
        <v/>
      </c>
      <c r="E79" s="672" t="n"/>
      <c r="F79" s="672">
        <f>'Trial Bal'!B47</f>
        <v/>
      </c>
      <c r="G79" s="426" t="n"/>
      <c r="H79" s="668">
        <f>'[1]Sub Grouping'!B35</f>
        <v/>
      </c>
      <c r="I79" s="672" t="n"/>
      <c r="J79" s="672">
        <f>'[1]Sub Grouping'!C35</f>
        <v/>
      </c>
      <c r="L79" s="655" t="n"/>
      <c r="M79" s="655" t="n"/>
    </row>
    <row r="80" ht="15.5" customHeight="1">
      <c r="A80" s="358" t="n"/>
      <c r="B80" s="335" t="inlineStr">
        <is>
          <t>Cash on hand</t>
        </is>
      </c>
      <c r="C80" s="672" t="n"/>
      <c r="D80" s="668" t="n"/>
      <c r="E80" s="672" t="n"/>
      <c r="F80" s="672">
        <f>'Trial Bal'!B45-2</f>
        <v/>
      </c>
      <c r="G80" s="426" t="n"/>
      <c r="H80" s="669">
        <f>'[1]Sub Grouping'!B29</f>
        <v/>
      </c>
      <c r="I80" s="672" t="n"/>
      <c r="J80" s="672">
        <f>'[1]TB 2020'!B51-8</f>
        <v/>
      </c>
      <c r="L80" s="655" t="n"/>
      <c r="M80" s="655" t="n"/>
    </row>
    <row r="81" ht="15.5" customHeight="1">
      <c r="A81" s="358" t="n"/>
      <c r="B81" s="347" t="n"/>
      <c r="C81" s="672" t="n"/>
      <c r="D81" s="660">
        <f>SUM(D79:D80)</f>
        <v/>
      </c>
      <c r="E81" s="672" t="n"/>
      <c r="F81" s="712">
        <f>SUM(F79:F80)</f>
        <v/>
      </c>
      <c r="G81" s="426" t="n"/>
      <c r="H81" s="669">
        <f>SUM(H79:H80)</f>
        <v/>
      </c>
      <c r="I81" s="672" t="n"/>
      <c r="J81" s="676">
        <f>SUM(J79:J80)</f>
        <v/>
      </c>
      <c r="L81" s="655" t="n"/>
      <c r="M81" s="655" t="n"/>
    </row>
    <row r="82" ht="15.5" customHeight="1">
      <c r="A82" s="358" t="n"/>
      <c r="B82" s="407" t="n"/>
      <c r="C82" s="698" t="n"/>
      <c r="D82" s="684" t="n"/>
      <c r="E82" s="668" t="n"/>
      <c r="F82" s="683" t="n"/>
      <c r="G82" s="343" t="n"/>
      <c r="H82" s="409" t="n"/>
      <c r="I82" s="668" t="n"/>
      <c r="J82" s="672" t="n"/>
      <c r="L82" s="655" t="n"/>
      <c r="M82" s="655" t="n"/>
    </row>
    <row r="83" ht="15.5" customHeight="1">
      <c r="A83" s="339" t="n"/>
      <c r="B83" s="336" t="inlineStr">
        <is>
          <t>OTHER CURRENT ASSETS</t>
        </is>
      </c>
      <c r="C83" s="659" t="n"/>
      <c r="D83" s="666" t="n"/>
      <c r="E83" s="666" t="n"/>
      <c r="F83" s="667" t="n"/>
      <c r="G83" s="322" t="n"/>
      <c r="H83" s="339" t="n"/>
      <c r="I83" s="666" t="n"/>
      <c r="J83" s="667" t="n"/>
      <c r="L83" s="655" t="n"/>
      <c r="M83" s="655" t="n"/>
    </row>
    <row r="84" ht="15.5" customHeight="1">
      <c r="A84" s="358" t="n"/>
      <c r="B84" s="335" t="inlineStr">
        <is>
          <t>ICICI Bank Ltd. ( Margin Account )</t>
        </is>
      </c>
      <c r="C84" s="698" t="n"/>
      <c r="D84" s="668" t="n"/>
      <c r="E84" s="668" t="n"/>
      <c r="F84" s="672" t="n"/>
      <c r="G84" s="343" t="n"/>
      <c r="H84" s="668" t="n"/>
      <c r="I84" s="668" t="n"/>
      <c r="J84" s="672">
        <f>'[1]TB 2020'!B47</f>
        <v/>
      </c>
      <c r="L84" s="655" t="n"/>
      <c r="M84" s="655" t="n"/>
    </row>
    <row r="85" ht="15.5" customHeight="1">
      <c r="A85" s="358" t="n"/>
      <c r="B85" s="272" t="inlineStr">
        <is>
          <t>Security Deposit</t>
        </is>
      </c>
      <c r="C85" s="689" t="n"/>
      <c r="D85" s="690" t="n"/>
      <c r="E85" s="690" t="n"/>
      <c r="F85" s="710" t="n"/>
      <c r="G85" s="343" t="n"/>
      <c r="H85" s="668">
        <f>[1]TB2021!N77</f>
        <v/>
      </c>
      <c r="I85" s="668" t="n"/>
      <c r="J85" s="672" t="n"/>
      <c r="L85" s="655" t="n"/>
      <c r="M85" s="655" t="n"/>
    </row>
    <row r="86" ht="15.5" customHeight="1">
      <c r="A86" s="358" t="n"/>
      <c r="B86" s="272" t="inlineStr">
        <is>
          <t>Income Tax refundable</t>
        </is>
      </c>
      <c r="C86" s="689" t="n"/>
      <c r="D86" s="690">
        <f>'Sub Grouping'!D14</f>
        <v/>
      </c>
      <c r="E86" s="690" t="n"/>
      <c r="F86" s="710" t="n"/>
      <c r="G86" s="343" t="n"/>
      <c r="H86" s="672">
        <f>[1]TB2021!N76-[1]PL!C23</f>
        <v/>
      </c>
      <c r="I86" s="668" t="n"/>
      <c r="J86" s="672" t="n"/>
      <c r="L86" s="655" t="n"/>
      <c r="M86" s="655" t="n"/>
    </row>
    <row r="87" ht="15.5" customHeight="1">
      <c r="A87" s="358" t="n"/>
      <c r="B87" s="272" t="inlineStr">
        <is>
          <t>GST Refund</t>
        </is>
      </c>
      <c r="C87" s="689" t="n"/>
      <c r="D87" s="690">
        <f>'Sub Grouping'!D19</f>
        <v/>
      </c>
      <c r="E87" s="690" t="n"/>
      <c r="F87" s="710">
        <f>'Trial Bal'!B22</f>
        <v/>
      </c>
      <c r="G87" s="343" t="n"/>
      <c r="H87" s="668">
        <f>[1]TB2021!N73+[1]TB2021!N74</f>
        <v/>
      </c>
      <c r="I87" s="668" t="n"/>
      <c r="J87" s="710">
        <f>'[1]TB 2020'!B24+'[1]TB 2020'!B25</f>
        <v/>
      </c>
      <c r="L87" s="655" t="n"/>
      <c r="M87" s="655" t="n"/>
    </row>
    <row r="88" ht="15.5" customHeight="1">
      <c r="A88" s="358" t="n"/>
      <c r="B88" s="272" t="inlineStr">
        <is>
          <t>Advance against supply</t>
        </is>
      </c>
      <c r="C88" s="689" t="n"/>
      <c r="D88" s="690">
        <f>'TB2023'!B16</f>
        <v/>
      </c>
      <c r="E88" s="690" t="n"/>
      <c r="F88" s="710">
        <f>'Trial Bal'!B27</f>
        <v/>
      </c>
      <c r="G88" s="343" t="n"/>
      <c r="H88" s="668" t="n"/>
      <c r="I88" s="668" t="n"/>
      <c r="J88" s="710" t="n"/>
      <c r="L88" s="655" t="n"/>
      <c r="M88" s="655" t="n"/>
    </row>
    <row r="89" ht="15.5" customHeight="1">
      <c r="A89" s="358" t="n"/>
      <c r="B89" s="272" t="inlineStr">
        <is>
          <t>Deffered Tax</t>
        </is>
      </c>
      <c r="C89" s="689" t="n"/>
      <c r="D89" s="690" t="n"/>
      <c r="E89" s="690" t="n"/>
      <c r="F89" s="710" t="n"/>
      <c r="G89" s="343" t="n"/>
      <c r="H89" s="668" t="n"/>
      <c r="I89" s="668" t="n"/>
      <c r="J89" s="710" t="n"/>
      <c r="L89" s="655" t="n"/>
      <c r="M89" s="655" t="n"/>
    </row>
    <row r="90" ht="15.5" customHeight="1">
      <c r="A90" s="358" t="n"/>
      <c r="B90" s="272" t="inlineStr">
        <is>
          <t>ITC (Credit)</t>
        </is>
      </c>
      <c r="C90" s="689" t="n"/>
      <c r="D90" s="690" t="n"/>
      <c r="E90" s="690" t="n"/>
      <c r="F90" s="710" t="n"/>
      <c r="G90" s="343" t="n"/>
      <c r="H90" s="668" t="n"/>
      <c r="I90" s="668" t="n"/>
      <c r="J90" s="710" t="n"/>
      <c r="L90" s="655" t="n"/>
      <c r="M90" s="709" t="n"/>
    </row>
    <row r="91" ht="15.5" customHeight="1">
      <c r="A91" s="358" t="n"/>
      <c r="B91" s="335">
        <f>'[1]Sub Grouping'!A21</f>
        <v/>
      </c>
      <c r="C91" s="698" t="n"/>
      <c r="D91" s="668" t="n"/>
      <c r="E91" s="668" t="n"/>
      <c r="F91" s="672" t="n"/>
      <c r="G91" s="343" t="n"/>
      <c r="H91" s="669">
        <f>'[1]Sub Grouping'!B27</f>
        <v/>
      </c>
      <c r="I91" s="672" t="n"/>
      <c r="J91" s="672" t="n"/>
      <c r="L91" s="655" t="n"/>
      <c r="M91" s="655" t="n"/>
    </row>
    <row r="92" ht="15.5" customHeight="1">
      <c r="A92" s="358" t="n"/>
      <c r="B92" s="335" t="n"/>
      <c r="C92" s="698" t="n"/>
      <c r="D92" s="660">
        <f>SUM(D86:D91)</f>
        <v/>
      </c>
      <c r="E92" s="668" t="n"/>
      <c r="F92" s="727">
        <f>SUM(F86:F90)</f>
        <v/>
      </c>
      <c r="G92" s="426" t="n"/>
      <c r="H92" s="669">
        <f>SUM(H85:H91)</f>
        <v/>
      </c>
      <c r="I92" s="672" t="n"/>
      <c r="J92" s="676">
        <f>SUM(J84:J87)</f>
        <v/>
      </c>
      <c r="L92" s="655" t="n"/>
      <c r="M92" s="655" t="n"/>
    </row>
    <row r="93" ht="15.5" customHeight="1">
      <c r="A93" s="358" t="n"/>
      <c r="B93" s="335" t="n"/>
      <c r="C93" s="698" t="n"/>
      <c r="D93" s="668" t="n"/>
      <c r="E93" s="672" t="n"/>
      <c r="F93" s="711" t="n"/>
      <c r="G93" s="426" t="n"/>
      <c r="H93" s="358" t="n"/>
      <c r="I93" s="672" t="n"/>
      <c r="J93" s="672" t="n"/>
      <c r="L93" s="655" t="n"/>
      <c r="M93" s="709" t="n"/>
    </row>
    <row r="94" ht="15.5" customHeight="1">
      <c r="A94" s="339" t="n"/>
      <c r="B94" s="335" t="inlineStr">
        <is>
          <t>Income from operation represent sales less return.</t>
        </is>
      </c>
      <c r="C94" s="698" t="n"/>
      <c r="D94" s="668">
        <f>'TB2023'!C31</f>
        <v/>
      </c>
      <c r="E94" s="672" t="n"/>
      <c r="F94" s="711">
        <f>'Trial Bal'!C54</f>
        <v/>
      </c>
      <c r="G94" s="426" t="n"/>
      <c r="H94" s="669">
        <f>[1]TB2021!O107</f>
        <v/>
      </c>
      <c r="I94" s="672" t="n"/>
      <c r="J94" s="672">
        <f>'[1]Sub Grouping'!C81</f>
        <v/>
      </c>
      <c r="L94" s="730" t="n"/>
    </row>
    <row r="95" ht="15.5" customHeight="1">
      <c r="A95" s="322" t="n"/>
      <c r="B95" s="347" t="n"/>
      <c r="C95" s="698" t="n"/>
      <c r="D95" s="660">
        <f>SUM(D94:D94)</f>
        <v/>
      </c>
      <c r="E95" s="672" t="n"/>
      <c r="F95" s="712">
        <f>F94</f>
        <v/>
      </c>
      <c r="G95" s="426" t="n"/>
      <c r="H95" s="668">
        <f>SUM(H94)</f>
        <v/>
      </c>
      <c r="I95" s="672" t="n"/>
      <c r="J95" s="676">
        <f>SUM(J94)</f>
        <v/>
      </c>
    </row>
    <row r="96" ht="15.5" customHeight="1">
      <c r="A96" s="339" t="n"/>
      <c r="B96" s="407" t="inlineStr">
        <is>
          <t>Purchase of stock in trade represents purchase less Return and making charges</t>
        </is>
      </c>
      <c r="C96" s="683" t="n"/>
      <c r="D96" s="664">
        <f>'TB2023'!B40</f>
        <v/>
      </c>
      <c r="E96" s="683" t="n"/>
      <c r="F96" s="665">
        <f>'Trial Bal'!B63</f>
        <v/>
      </c>
      <c r="G96" s="429" t="n"/>
      <c r="H96" s="664">
        <f>[1]TB2021!N117</f>
        <v/>
      </c>
      <c r="I96" s="683" t="n"/>
      <c r="J96" s="705">
        <f>'[1]Sub Grouping'!C42</f>
        <v/>
      </c>
    </row>
    <row r="97" ht="15.5" customHeight="1">
      <c r="A97" s="322" t="n"/>
      <c r="B97" s="358" t="n"/>
      <c r="C97" s="668" t="n"/>
      <c r="D97" s="668" t="n"/>
      <c r="E97" s="668" t="n"/>
      <c r="F97" s="672" t="n"/>
      <c r="G97" s="343" t="n"/>
      <c r="H97" s="731" t="n"/>
      <c r="I97" s="668" t="n"/>
      <c r="J97" s="672" t="n"/>
    </row>
    <row r="98" ht="15.5" customHeight="1">
      <c r="A98" s="339" t="n"/>
      <c r="B98" s="470" t="inlineStr">
        <is>
          <t>CHANGE IN INVENTORY</t>
        </is>
      </c>
      <c r="C98" s="667" t="n"/>
      <c r="D98" s="666" t="n"/>
      <c r="E98" s="667" t="n"/>
      <c r="F98" s="667" t="n"/>
      <c r="G98" s="424" t="n"/>
      <c r="H98" s="666" t="n"/>
      <c r="I98" s="667" t="n"/>
      <c r="J98" s="667" t="n"/>
    </row>
    <row r="99" ht="15.5" customHeight="1">
      <c r="A99" s="358" t="n"/>
      <c r="B99" s="471" t="inlineStr">
        <is>
          <t xml:space="preserve">Inventory at close </t>
        </is>
      </c>
      <c r="C99" s="672" t="n"/>
      <c r="D99" s="698" t="n"/>
      <c r="E99" s="672" t="n"/>
      <c r="F99" s="672" t="n"/>
      <c r="G99" s="426" t="n"/>
      <c r="H99" s="668">
        <f>'[1]Sub Grouping'!B89</f>
        <v/>
      </c>
      <c r="I99" s="672" t="n"/>
      <c r="J99" s="672">
        <f>J71</f>
        <v/>
      </c>
    </row>
    <row r="100" ht="15.5" customHeight="1">
      <c r="A100" s="358" t="n"/>
      <c r="B100" s="471" t="inlineStr">
        <is>
          <t>Inventory at commencement</t>
        </is>
      </c>
      <c r="C100" s="672" t="n"/>
      <c r="D100" s="690">
        <f>'TB2023'!B24</f>
        <v/>
      </c>
      <c r="E100" s="672" t="n"/>
      <c r="F100" s="672">
        <f>'Trial Bal'!B42</f>
        <v/>
      </c>
      <c r="G100" s="426" t="n"/>
      <c r="H100" s="669">
        <f>[1]TB2021!N89</f>
        <v/>
      </c>
      <c r="I100" s="672" t="n"/>
      <c r="J100" s="672">
        <f>'[1]TB 2020'!B44-158764</f>
        <v/>
      </c>
    </row>
    <row r="101" ht="15.5" customHeight="1">
      <c r="A101" s="358" t="n"/>
      <c r="B101" s="335" t="n"/>
      <c r="C101" s="672" t="n"/>
      <c r="D101" s="668">
        <f>D100-D99</f>
        <v/>
      </c>
      <c r="E101" s="672" t="n"/>
      <c r="F101" s="712">
        <f>F100-F99</f>
        <v/>
      </c>
      <c r="G101" s="426" t="n"/>
      <c r="H101" s="668">
        <f>H100-H99</f>
        <v/>
      </c>
      <c r="I101" s="672" t="n"/>
      <c r="J101" s="676">
        <f>J100-J99</f>
        <v/>
      </c>
    </row>
    <row r="102" ht="15.5" customHeight="1">
      <c r="A102" s="473" t="n"/>
      <c r="B102" s="428" t="n"/>
      <c r="C102" s="727" t="n"/>
      <c r="D102" s="726" t="n"/>
      <c r="E102" s="727" t="n"/>
      <c r="F102" s="727" t="n"/>
      <c r="G102" s="474" t="n"/>
      <c r="H102" s="726" t="n"/>
      <c r="I102" s="727" t="n"/>
      <c r="J102" s="727" t="n"/>
    </row>
    <row r="103" ht="15.5" customHeight="1">
      <c r="A103" s="339" t="n"/>
      <c r="B103" s="336" t="inlineStr">
        <is>
          <t>EMPLOYEE BENEFIT EXPENSES</t>
        </is>
      </c>
      <c r="C103" s="667" t="n"/>
      <c r="D103" s="702" t="n"/>
      <c r="E103" s="708" t="n"/>
      <c r="F103" s="708" t="n"/>
      <c r="G103" s="424" t="n"/>
      <c r="H103" s="339" t="n"/>
      <c r="I103" s="667" t="n"/>
      <c r="J103" s="667" t="n"/>
    </row>
    <row r="104" ht="15.5" customHeight="1">
      <c r="A104" s="358" t="n"/>
      <c r="B104" s="335" t="inlineStr">
        <is>
          <t>Salaries and Bonus*</t>
        </is>
      </c>
      <c r="C104" s="672" t="n"/>
      <c r="D104" s="690">
        <f>'TB2023'!B49</f>
        <v/>
      </c>
      <c r="E104" s="710" t="n"/>
      <c r="F104" s="710">
        <f>'Trial Bal'!B72+'Trial Bal'!B73</f>
        <v/>
      </c>
      <c r="G104" s="426" t="n"/>
      <c r="H104" s="668">
        <f>'[1]Sub Grouping'!B68</f>
        <v/>
      </c>
      <c r="I104" s="672" t="n"/>
      <c r="J104" s="672">
        <f>'[1]Sub Grouping'!C68</f>
        <v/>
      </c>
    </row>
    <row r="105" ht="15.5" customHeight="1">
      <c r="A105" s="358" t="n"/>
      <c r="B105" s="335" t="inlineStr">
        <is>
          <t>Staff welfare</t>
        </is>
      </c>
      <c r="C105" s="672" t="n"/>
      <c r="D105" s="690" t="n"/>
      <c r="E105" s="710" t="n"/>
      <c r="F105" s="710" t="n"/>
      <c r="G105" s="426" t="n"/>
      <c r="H105" s="669" t="n"/>
      <c r="I105" s="672" t="n"/>
      <c r="J105" s="672">
        <f>'[1]TB 2020'!B115</f>
        <v/>
      </c>
    </row>
    <row r="106" ht="15.5" customHeight="1">
      <c r="A106" s="358" t="n"/>
      <c r="B106" s="347" t="n"/>
      <c r="C106" s="672" t="n"/>
      <c r="D106" s="725">
        <f>SUM(D104:D105)</f>
        <v/>
      </c>
      <c r="E106" s="710" t="n"/>
      <c r="F106" s="732">
        <f>F104</f>
        <v/>
      </c>
      <c r="G106" s="426" t="n"/>
      <c r="H106" s="669">
        <f>SUM(H104:H105)</f>
        <v/>
      </c>
      <c r="I106" s="672" t="n"/>
      <c r="J106" s="676">
        <f>SUM(J104:J105)</f>
        <v/>
      </c>
    </row>
    <row r="107" ht="15.5" customHeight="1">
      <c r="A107" s="358" t="n"/>
      <c r="B107" s="407" t="inlineStr">
        <is>
          <t>* Includes Rs.18,00,000/-(11,52,700/-) director remuneration</t>
        </is>
      </c>
      <c r="C107" s="672" t="n"/>
      <c r="D107" s="690" t="n"/>
      <c r="E107" s="710" t="n"/>
      <c r="F107" s="710" t="n"/>
      <c r="G107" s="426" t="n"/>
      <c r="H107" s="358" t="n"/>
      <c r="I107" s="672" t="n"/>
      <c r="J107" s="672" t="n"/>
    </row>
    <row r="108" ht="15.5" customHeight="1">
      <c r="A108" s="339" t="n"/>
      <c r="B108" s="330" t="inlineStr">
        <is>
          <t>OTHER EXPENSES</t>
        </is>
      </c>
      <c r="C108" s="667" t="n"/>
      <c r="D108" s="702" t="n"/>
      <c r="E108" s="708" t="n"/>
      <c r="F108" s="708" t="n"/>
      <c r="G108" s="424" t="n"/>
      <c r="H108" s="666" t="n"/>
      <c r="I108" s="667" t="n"/>
      <c r="J108" s="667" t="n"/>
    </row>
    <row r="109" ht="15.5" customHeight="1">
      <c r="A109" s="358" t="n"/>
      <c r="B109" s="335" t="inlineStr">
        <is>
          <t>General expenses</t>
        </is>
      </c>
      <c r="C109" s="672" t="n"/>
      <c r="D109" s="690">
        <f>'TB2023'!B56+'TB2023'!B54-'TB2023'!C50+421600</f>
        <v/>
      </c>
      <c r="E109" s="710" t="n"/>
      <c r="F109" s="710">
        <f>'Trial Bal'!B75-'Trial Bal'!C79+'Trial Bal'!B90</f>
        <v/>
      </c>
      <c r="G109" s="426" t="n"/>
      <c r="H109" s="668">
        <f>'[1]Sub Grouping'!B64</f>
        <v/>
      </c>
      <c r="I109" s="672" t="n"/>
      <c r="J109" s="672">
        <f>'[1]Sub Grouping'!C64+158764</f>
        <v/>
      </c>
    </row>
    <row r="110" ht="15.5" customHeight="1">
      <c r="A110" s="358" t="n"/>
      <c r="B110" s="335" t="inlineStr">
        <is>
          <t>Administration Expenses</t>
        </is>
      </c>
      <c r="C110" s="672" t="n"/>
      <c r="D110" s="690" t="n"/>
      <c r="E110" s="710" t="n"/>
      <c r="F110" s="710" t="n"/>
      <c r="G110" s="426" t="n"/>
      <c r="H110" s="668">
        <f>[1]TB2021!N148</f>
        <v/>
      </c>
      <c r="I110" s="672" t="n"/>
      <c r="J110" s="672">
        <f>'[1]TB 2020'!B109</f>
        <v/>
      </c>
      <c r="M110" s="1" t="n"/>
    </row>
    <row r="111" ht="15.5" customHeight="1">
      <c r="A111" s="358" t="n"/>
      <c r="B111" s="335" t="inlineStr">
        <is>
          <t>CSR Expenses</t>
        </is>
      </c>
      <c r="C111" s="672" t="n"/>
      <c r="D111" s="690" t="n"/>
      <c r="E111" s="710" t="n"/>
      <c r="F111" s="710">
        <f>'Trial Bal'!B87</f>
        <v/>
      </c>
      <c r="G111" s="426" t="n"/>
      <c r="H111" s="668">
        <f>[1]TB2021!N155</f>
        <v/>
      </c>
      <c r="I111" s="672" t="n"/>
      <c r="J111" s="672" t="n"/>
    </row>
    <row r="112" ht="15.5" customHeight="1">
      <c r="A112" s="358" t="n"/>
      <c r="B112" s="335" t="inlineStr">
        <is>
          <t>Interest on TDS/TCS</t>
        </is>
      </c>
      <c r="C112" s="672" t="n"/>
      <c r="D112" s="690">
        <f>'TB2023'!B55</f>
        <v/>
      </c>
      <c r="E112" s="710" t="n"/>
      <c r="F112" s="710">
        <f>'Trial Bal'!B89</f>
        <v/>
      </c>
      <c r="G112" s="426" t="n"/>
      <c r="H112" s="668" t="n"/>
      <c r="I112" s="672" t="n"/>
      <c r="J112" s="672">
        <f>'[1]TB 2020'!B114</f>
        <v/>
      </c>
    </row>
    <row r="113" ht="15.5" customHeight="1">
      <c r="A113" s="358" t="n"/>
      <c r="B113" s="335" t="inlineStr">
        <is>
          <t>Sales promotion expenses</t>
        </is>
      </c>
      <c r="C113" s="672" t="n"/>
      <c r="D113" s="690">
        <f>'TB2023'!B57</f>
        <v/>
      </c>
      <c r="E113" s="710" t="n"/>
      <c r="F113" s="710" t="n"/>
      <c r="G113" s="426" t="n"/>
      <c r="H113" s="668">
        <f>[1]TB2021!N147</f>
        <v/>
      </c>
      <c r="I113" s="672" t="n"/>
      <c r="J113" s="672">
        <f>'[1]TB 2020'!B108-'[1]TB 2020'!C73</f>
        <v/>
      </c>
    </row>
    <row r="114" ht="15.5" customHeight="1">
      <c r="A114" s="358" t="n"/>
      <c r="B114" s="335" t="inlineStr">
        <is>
          <t>Rates and Taxes*</t>
        </is>
      </c>
      <c r="C114" s="672" t="n"/>
      <c r="D114" s="690" t="n"/>
      <c r="E114" s="710" t="n"/>
      <c r="F114" s="710">
        <f>'Trial Bal'!B83</f>
        <v/>
      </c>
      <c r="G114" s="426" t="n"/>
      <c r="H114" s="668" t="n"/>
      <c r="I114" s="672" t="n"/>
      <c r="J114" s="672">
        <f>'[1]Sub Grouping'!C87</f>
        <v/>
      </c>
    </row>
    <row r="115" ht="15.5" customHeight="1">
      <c r="A115" s="358" t="n"/>
      <c r="B115" s="272" t="inlineStr">
        <is>
          <t>Telephone Exp</t>
        </is>
      </c>
      <c r="C115" s="710" t="n"/>
      <c r="D115" s="690" t="n"/>
      <c r="E115" s="710" t="n"/>
      <c r="F115" s="710">
        <f>'Trial Bal'!B85</f>
        <v/>
      </c>
      <c r="G115" s="476" t="n"/>
      <c r="H115" s="690">
        <f>[1]TB2021!N149</f>
        <v/>
      </c>
      <c r="I115" s="710" t="n"/>
      <c r="J115" s="710">
        <f>'[1]TB 2020'!B111</f>
        <v/>
      </c>
      <c r="M115" s="1" t="n"/>
    </row>
    <row r="116" ht="15.5" customHeight="1">
      <c r="A116" s="358" t="n"/>
      <c r="B116" s="335" t="inlineStr">
        <is>
          <t>Repairs and maintanace</t>
        </is>
      </c>
      <c r="C116" s="672" t="n"/>
      <c r="D116" s="690" t="n"/>
      <c r="E116" s="710" t="n"/>
      <c r="F116" s="710" t="n"/>
      <c r="G116" s="426" t="n"/>
      <c r="H116" s="668" t="n"/>
      <c r="I116" s="672" t="n"/>
      <c r="J116" s="672">
        <f>'[1]TB 2020'!B110</f>
        <v/>
      </c>
    </row>
    <row r="117" ht="15.5" customHeight="1">
      <c r="A117" s="358" t="n"/>
      <c r="B117" s="335" t="inlineStr">
        <is>
          <t>Electricity charges</t>
        </is>
      </c>
      <c r="C117" s="672" t="n"/>
      <c r="D117" s="690" t="n"/>
      <c r="E117" s="710" t="n"/>
      <c r="F117" s="710">
        <f>'Trial Bal'!B84</f>
        <v/>
      </c>
      <c r="G117" s="426" t="n"/>
      <c r="H117" s="668" t="n"/>
      <c r="I117" s="672" t="n"/>
      <c r="J117" s="672">
        <f>'[1]TB 2020'!B107</f>
        <v/>
      </c>
    </row>
    <row r="118" ht="15.5" customHeight="1">
      <c r="A118" s="358" t="n"/>
      <c r="B118" s="335" t="inlineStr">
        <is>
          <t>Software expenses Chirayu</t>
        </is>
      </c>
      <c r="C118" s="672" t="n"/>
      <c r="D118" s="690">
        <f>'TB2023'!B51+140800</f>
        <v/>
      </c>
      <c r="E118" s="710" t="n"/>
      <c r="F118" s="710">
        <f>'Trial Bal'!B86</f>
        <v/>
      </c>
      <c r="G118" s="426" t="n"/>
      <c r="H118" s="668" t="n"/>
      <c r="I118" s="672" t="n"/>
      <c r="J118" s="672" t="n"/>
    </row>
    <row r="119" ht="15.5" customHeight="1">
      <c r="A119" s="358" t="n"/>
      <c r="B119" s="272" t="inlineStr">
        <is>
          <t>Payment to Auditors</t>
        </is>
      </c>
      <c r="C119" s="710" t="n"/>
      <c r="D119" s="690" t="n"/>
      <c r="E119" s="710" t="n"/>
      <c r="F119" s="710" t="n"/>
      <c r="G119" s="476" t="n"/>
      <c r="H119" s="690" t="n"/>
      <c r="I119" s="710" t="n"/>
      <c r="J119" s="710">
        <f>'[1]TB 2020'!B106</f>
        <v/>
      </c>
    </row>
    <row r="120" ht="15.5" customHeight="1">
      <c r="A120" s="358" t="n"/>
      <c r="B120" s="272" t="n"/>
      <c r="C120" s="710" t="n"/>
      <c r="D120" s="690" t="n"/>
      <c r="E120" s="710" t="n"/>
      <c r="F120" s="710" t="n"/>
      <c r="G120" s="476" t="n"/>
      <c r="H120" s="687" t="n"/>
      <c r="I120" s="710" t="n"/>
      <c r="J120" s="710" t="n"/>
    </row>
    <row r="121" ht="15.5" customHeight="1">
      <c r="A121" s="358" t="n"/>
      <c r="B121" s="347" t="n"/>
      <c r="C121" s="672" t="n"/>
      <c r="D121" s="725">
        <f>SUM(D109:D120)</f>
        <v/>
      </c>
      <c r="E121" s="710" t="n"/>
      <c r="F121" s="732">
        <f>SUM(F109:F120)</f>
        <v/>
      </c>
      <c r="G121" s="426" t="n"/>
      <c r="H121" s="669">
        <f>SUM(H108:H120)</f>
        <v/>
      </c>
      <c r="I121" s="672" t="n"/>
      <c r="J121" s="676">
        <f>SUM(J109:J120)</f>
        <v/>
      </c>
      <c r="M121" s="647" t="n"/>
    </row>
    <row r="122" ht="15.5" customHeight="1">
      <c r="A122" s="358" t="n"/>
      <c r="B122" s="407" t="n"/>
      <c r="C122" s="672" t="n"/>
      <c r="D122" s="668" t="n"/>
      <c r="E122" s="672" t="n"/>
      <c r="F122" s="672" t="n"/>
      <c r="G122" s="426" t="n"/>
      <c r="H122" s="358" t="n"/>
      <c r="I122" s="672" t="n"/>
      <c r="J122" s="672" t="n"/>
      <c r="M122" s="647" t="n"/>
    </row>
    <row r="123" ht="15.5" customHeight="1">
      <c r="A123" s="358" t="n"/>
      <c r="B123" s="335" t="inlineStr">
        <is>
          <t>17.1 Payments Auditors as:</t>
        </is>
      </c>
      <c r="C123" s="672" t="n"/>
      <c r="D123" s="668" t="n"/>
      <c r="E123" s="672" t="n"/>
      <c r="F123" s="672" t="n"/>
      <c r="G123" s="426" t="n"/>
      <c r="H123" s="358" t="n"/>
      <c r="I123" s="672" t="n"/>
      <c r="J123" s="672" t="n"/>
      <c r="M123" s="647" t="n"/>
    </row>
    <row r="124" ht="15.5" customHeight="1">
      <c r="A124" s="358" t="n"/>
      <c r="B124" s="335" t="inlineStr">
        <is>
          <t xml:space="preserve">          Statutory Audit Fees</t>
        </is>
      </c>
      <c r="C124" s="672" t="n"/>
      <c r="D124" s="668" t="n"/>
      <c r="E124" s="672" t="n"/>
      <c r="F124" s="672" t="n"/>
      <c r="G124" s="426" t="n"/>
      <c r="H124" s="668" t="n"/>
      <c r="I124" s="672" t="n"/>
      <c r="J124" s="672" t="n"/>
    </row>
    <row r="125" ht="15.5" customHeight="1">
      <c r="A125" s="358" t="n"/>
      <c r="B125" s="335" t="inlineStr">
        <is>
          <t xml:space="preserve">          Tax Audit Fees</t>
        </is>
      </c>
      <c r="C125" s="672" t="n"/>
      <c r="D125" s="668" t="n"/>
      <c r="E125" s="672" t="n"/>
      <c r="F125" s="672" t="n"/>
      <c r="G125" s="426" t="n"/>
      <c r="H125" s="668" t="n"/>
      <c r="I125" s="672" t="n"/>
      <c r="J125" s="672" t="n"/>
    </row>
    <row r="126" ht="15.5" customHeight="1">
      <c r="A126" s="358" t="n"/>
      <c r="B126" s="335" t="inlineStr">
        <is>
          <t xml:space="preserve">          Certification and cosultation fees</t>
        </is>
      </c>
      <c r="C126" s="672" t="n"/>
      <c r="D126" s="668" t="n"/>
      <c r="E126" s="672" t="n"/>
      <c r="F126" s="672" t="n"/>
      <c r="G126" s="426" t="n"/>
      <c r="H126" s="668" t="n"/>
      <c r="I126" s="672" t="n"/>
      <c r="J126" s="672" t="n"/>
    </row>
    <row r="127" ht="15.5" customHeight="1">
      <c r="A127" s="358" t="n"/>
      <c r="B127" s="347" t="n"/>
      <c r="C127" s="672" t="n"/>
      <c r="D127" s="660">
        <f>SUM(D124:D126)</f>
        <v/>
      </c>
      <c r="E127" s="672" t="n"/>
      <c r="F127" s="712">
        <f>SUM(F124:F126)</f>
        <v/>
      </c>
      <c r="G127" s="426" t="n"/>
      <c r="H127" s="727">
        <f>SUM(H124:H126)</f>
        <v/>
      </c>
      <c r="I127" s="672" t="n"/>
      <c r="J127" s="727">
        <f>SUM(J124:J126)</f>
        <v/>
      </c>
    </row>
    <row r="128" ht="15.5" customHeight="1">
      <c r="A128" s="358" t="n"/>
      <c r="B128" s="407" t="n"/>
      <c r="C128" s="672" t="n"/>
      <c r="D128" s="668" t="n"/>
      <c r="E128" s="672" t="n"/>
      <c r="F128" s="672" t="n"/>
      <c r="G128" s="426" t="n"/>
      <c r="H128" s="358" t="n"/>
      <c r="I128" s="672" t="n"/>
      <c r="J128" s="672" t="n"/>
    </row>
    <row r="129" ht="15.5" customHeight="1">
      <c r="A129" s="339" t="n"/>
      <c r="B129" s="336" t="inlineStr">
        <is>
          <t>EARNINGS PER SHARE (EPS)</t>
        </is>
      </c>
      <c r="C129" s="667" t="n"/>
      <c r="D129" s="666" t="n"/>
      <c r="E129" s="667" t="n"/>
      <c r="F129" s="667" t="n"/>
      <c r="G129" s="424" t="n"/>
      <c r="H129" s="339" t="n"/>
      <c r="I129" s="667" t="n"/>
      <c r="J129" s="667" t="n"/>
    </row>
    <row r="130" ht="15.5" customHeight="1">
      <c r="A130" s="358" t="n"/>
      <c r="B130" s="335" t="n"/>
      <c r="C130" s="672" t="n"/>
      <c r="D130" s="668" t="n"/>
      <c r="E130" s="672" t="n"/>
      <c r="F130" s="672" t="n"/>
      <c r="G130" s="426" t="n"/>
      <c r="H130" s="668" t="n"/>
      <c r="I130" s="672" t="n"/>
      <c r="J130" s="672" t="n"/>
    </row>
    <row r="131" ht="15.5" customHeight="1">
      <c r="A131" s="358" t="n"/>
      <c r="B131" s="335" t="inlineStr">
        <is>
          <t>i) Net Profit after tax as per Statement of Profit and Loss</t>
        </is>
      </c>
      <c r="C131" s="672" t="n"/>
      <c r="D131" s="668" t="n"/>
      <c r="E131" s="672" t="n"/>
      <c r="F131" s="672" t="n"/>
      <c r="G131" s="426" t="n"/>
      <c r="H131" s="668">
        <f>[1]PL!C25</f>
        <v/>
      </c>
      <c r="I131" s="672" t="n"/>
      <c r="J131" s="672">
        <f>[1]PL!D25</f>
        <v/>
      </c>
    </row>
    <row r="132" ht="15.5" customHeight="1">
      <c r="A132" s="358" t="n"/>
      <c r="B132" s="335" t="inlineStr">
        <is>
          <t xml:space="preserve">attributable to Equity Shareholders (` in Lakhs) </t>
        </is>
      </c>
      <c r="C132" s="672" t="n"/>
      <c r="D132" s="668" t="n"/>
      <c r="E132" s="672" t="n"/>
      <c r="F132" s="672" t="n"/>
      <c r="G132" s="426" t="n"/>
      <c r="H132" s="668" t="n"/>
      <c r="I132" s="672" t="n"/>
      <c r="J132" s="672" t="n"/>
    </row>
    <row r="133" ht="15.5" customHeight="1">
      <c r="A133" s="358" t="n"/>
      <c r="B133" s="335" t="inlineStr">
        <is>
          <t>ii) Number of equity shares used as</t>
        </is>
      </c>
      <c r="C133" s="672" t="n"/>
      <c r="D133" s="668" t="n"/>
      <c r="E133" s="672" t="n"/>
      <c r="F133" s="672" t="n"/>
      <c r="G133" s="426" t="n"/>
      <c r="H133" s="668" t="n"/>
      <c r="I133" s="672" t="n"/>
      <c r="J133" s="672" t="n"/>
    </row>
    <row r="134" ht="15.5" customHeight="1">
      <c r="A134" s="358" t="n"/>
      <c r="B134" s="335" t="inlineStr">
        <is>
          <t xml:space="preserve">denominator for calculating EPS </t>
        </is>
      </c>
      <c r="C134" s="672" t="n"/>
      <c r="D134" s="668" t="n"/>
      <c r="E134" s="672" t="n"/>
      <c r="F134" s="672" t="n"/>
      <c r="G134" s="426" t="n"/>
      <c r="H134" s="668" t="n"/>
      <c r="I134" s="672" t="n"/>
      <c r="J134" s="672" t="n"/>
    </row>
    <row r="135" ht="15.5" customHeight="1">
      <c r="A135" s="358" t="n"/>
      <c r="B135" s="335" t="inlineStr">
        <is>
          <t xml:space="preserve">iii) Basic and Diluted Earnings per share </t>
        </is>
      </c>
      <c r="C135" s="672" t="n"/>
      <c r="D135" s="668" t="n"/>
      <c r="E135" s="672" t="n"/>
      <c r="F135" s="672" t="n"/>
      <c r="G135" s="426" t="n"/>
      <c r="H135" s="668">
        <f>H131/H134</f>
        <v/>
      </c>
      <c r="I135" s="672" t="n"/>
      <c r="J135" s="672">
        <f>J131/J134</f>
        <v/>
      </c>
    </row>
    <row r="136" ht="15.5" customHeight="1">
      <c r="A136" s="436" t="n"/>
      <c r="B136" s="347" t="inlineStr">
        <is>
          <t>iv) Face Value per equity share</t>
        </is>
      </c>
      <c r="C136" s="673" t="n"/>
      <c r="D136" s="669" t="n"/>
      <c r="E136" s="673" t="n"/>
      <c r="F136" s="673" t="n"/>
      <c r="G136" s="427" t="n"/>
      <c r="H136" s="669" t="n"/>
      <c r="I136" s="673" t="n"/>
      <c r="J136" s="673" t="n"/>
    </row>
    <row r="137" ht="15.5" customHeight="1">
      <c r="A137" s="343" t="n"/>
      <c r="B137" s="343" t="n"/>
      <c r="C137" s="343" t="n"/>
      <c r="D137" s="343" t="n"/>
      <c r="E137" s="698" t="n"/>
      <c r="F137" s="698" t="n"/>
      <c r="G137" s="343" t="n"/>
      <c r="H137" s="343" t="n"/>
      <c r="I137" s="343" t="n"/>
      <c r="J137" s="343" t="n"/>
    </row>
    <row r="138" ht="15.5" customHeight="1">
      <c r="A138" s="343" t="n"/>
      <c r="B138" s="343" t="n"/>
      <c r="C138" s="343" t="n"/>
      <c r="D138" s="343" t="n"/>
      <c r="E138" s="698" t="n"/>
      <c r="F138" s="698" t="n"/>
      <c r="G138" s="343" t="n"/>
      <c r="H138" s="343" t="n"/>
      <c r="I138" s="343" t="n"/>
      <c r="J138" s="343" t="n"/>
    </row>
    <row r="139" ht="15.5" customHeight="1">
      <c r="A139" s="343" t="n"/>
      <c r="B139" s="343" t="n"/>
      <c r="C139" s="343" t="n"/>
      <c r="D139" s="343" t="n"/>
      <c r="E139" s="698" t="n"/>
      <c r="F139" s="698" t="n"/>
      <c r="G139" s="343" t="n"/>
      <c r="H139" s="343" t="n"/>
      <c r="I139" s="343" t="n"/>
      <c r="J139" s="343" t="n"/>
    </row>
    <row r="140" ht="15.5" customHeight="1">
      <c r="A140" s="343" t="n"/>
      <c r="B140" s="343" t="n"/>
      <c r="C140" s="343" t="n"/>
      <c r="D140" s="343" t="n"/>
      <c r="E140" s="698" t="n"/>
      <c r="F140" s="698" t="n"/>
      <c r="G140" s="343" t="n"/>
      <c r="H140" t="inlineStr">
        <is>
          <t>Director</t>
        </is>
      </c>
      <c r="I140" t="inlineStr">
        <is>
          <t>Director</t>
        </is>
      </c>
      <c r="J140" s="343" t="n"/>
    </row>
    <row r="141" ht="15.5" customHeight="1">
      <c r="A141" s="343" t="n"/>
      <c r="B141" s="343" t="n"/>
      <c r="C141" s="343" t="n"/>
      <c r="D141" s="343" t="n"/>
      <c r="E141" s="698" t="n"/>
      <c r="F141" s="698" t="n"/>
      <c r="G141" s="343" t="n"/>
      <c r="H141" s="343" t="n"/>
      <c r="I141" s="343" t="n"/>
      <c r="J141" s="343" t="n"/>
    </row>
  </sheetData>
  <mergeCells count="8">
    <mergeCell ref="E43:E44"/>
    <mergeCell ref="C43:C44"/>
    <mergeCell ref="D43:D44"/>
    <mergeCell ref="F43:F44"/>
    <mergeCell ref="C3:D3"/>
    <mergeCell ref="G3:H3"/>
    <mergeCell ref="E3:F3"/>
    <mergeCell ref="I3:J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topLeftCell="A28" workbookViewId="0">
      <selection activeCell="F37" sqref="F37"/>
    </sheetView>
  </sheetViews>
  <sheetFormatPr baseColWidth="8" defaultColWidth="15" defaultRowHeight="14.5"/>
  <cols>
    <col width="5.36328125" customWidth="1" min="1" max="1"/>
    <col width="6.08984375" customWidth="1" min="2" max="2"/>
  </cols>
  <sheetData>
    <row r="1">
      <c r="A1" s="1" t="n"/>
      <c r="B1" t="inlineStr">
        <is>
          <t>Deffered Tax Asset is related to net timing difference of depreciation.</t>
        </is>
      </c>
    </row>
    <row r="2">
      <c r="A2" s="1" t="n"/>
      <c r="B2" t="inlineStr">
        <is>
          <t xml:space="preserve">Pursuant to the enactment of the Companies Act 2013,the Company has applied </t>
        </is>
      </c>
    </row>
    <row r="3">
      <c r="A3" s="1" t="n"/>
      <c r="B3" t="inlineStr">
        <is>
          <t xml:space="preserve"> the estimated useful lives as specified in Schedule II.Accordingly the unamortised </t>
        </is>
      </c>
    </row>
    <row r="4">
      <c r="A4" s="1" t="n"/>
      <c r="B4" t="inlineStr">
        <is>
          <t xml:space="preserve"> carrying value is being depreciated over the remaining useful life of the assets.</t>
        </is>
      </c>
    </row>
    <row r="5">
      <c r="A5" s="1" t="n"/>
      <c r="B5" t="inlineStr">
        <is>
          <t>Previous Year figures are regrouped wherever necessary.</t>
        </is>
      </c>
    </row>
    <row r="6">
      <c r="A6" s="1" t="n"/>
      <c r="B6" s="149" t="inlineStr">
        <is>
          <t>Disclosure of Related Party Transaction as per AS 18</t>
        </is>
      </c>
    </row>
    <row r="7">
      <c r="A7" s="1" t="n"/>
      <c r="B7" s="295" t="n"/>
      <c r="C7" s="149" t="inlineStr">
        <is>
          <t>Key Managerial Personal:</t>
        </is>
      </c>
    </row>
    <row r="8">
      <c r="C8" s="1" t="inlineStr">
        <is>
          <t>Relation</t>
        </is>
      </c>
      <c r="D8" s="1" t="n"/>
      <c r="E8" s="296" t="inlineStr">
        <is>
          <t>Person</t>
        </is>
      </c>
    </row>
    <row r="9">
      <c r="C9" t="inlineStr">
        <is>
          <t>Director</t>
        </is>
      </c>
      <c r="E9" t="inlineStr">
        <is>
          <t>G Krishna</t>
        </is>
      </c>
    </row>
    <row r="10">
      <c r="C10" t="inlineStr">
        <is>
          <t>Director</t>
        </is>
      </c>
      <c r="E10" t="inlineStr">
        <is>
          <t>G Aruna</t>
        </is>
      </c>
    </row>
    <row r="11">
      <c r="C11" t="inlineStr">
        <is>
          <t>Director</t>
        </is>
      </c>
      <c r="E11" t="inlineStr">
        <is>
          <t xml:space="preserve">G Krupan </t>
        </is>
      </c>
    </row>
    <row r="12">
      <c r="B12" s="295" t="n"/>
      <c r="C12" s="149" t="inlineStr">
        <is>
          <t>Key Managerial Personal having Significant infulence</t>
        </is>
      </c>
    </row>
    <row r="13">
      <c r="B13" s="297" t="n"/>
      <c r="C13" t="inlineStr">
        <is>
          <t>Directors are interested in following concerns:</t>
        </is>
      </c>
    </row>
    <row r="14">
      <c r="B14" s="297" t="n"/>
      <c r="C14" s="149" t="inlineStr">
        <is>
          <t>Name of Director</t>
        </is>
      </c>
      <c r="D14" s="149" t="n"/>
      <c r="E14" s="149" t="inlineStr">
        <is>
          <t>Interested in concern</t>
        </is>
      </c>
      <c r="G14" s="149" t="inlineStr">
        <is>
          <t>In capacity of</t>
        </is>
      </c>
    </row>
    <row r="15">
      <c r="B15" s="297" t="n"/>
      <c r="C15" t="inlineStr">
        <is>
          <t>G Krishna</t>
        </is>
      </c>
      <c r="E15" t="inlineStr">
        <is>
          <t>A K Hardware Syndicate</t>
        </is>
      </c>
      <c r="F15" s="298" t="n"/>
      <c r="G15" t="inlineStr">
        <is>
          <t>Propreitor</t>
        </is>
      </c>
    </row>
    <row r="16">
      <c r="B16" s="297" t="n"/>
      <c r="C16" t="inlineStr">
        <is>
          <t>G Krishna,G krupan</t>
        </is>
      </c>
      <c r="E16" t="inlineStr">
        <is>
          <t>G K Infra Pvt Ltd</t>
        </is>
      </c>
      <c r="G16" t="inlineStr">
        <is>
          <t>Directors</t>
        </is>
      </c>
    </row>
    <row r="17"/>
    <row r="18">
      <c r="B18" s="295" t="n"/>
      <c r="C18" s="149" t="inlineStr">
        <is>
          <t>Payment/ Transactions with related parties:</t>
        </is>
      </c>
    </row>
    <row r="19" ht="29" customHeight="1">
      <c r="B19" s="297" t="n"/>
      <c r="C19" s="299" t="inlineStr">
        <is>
          <t>Name</t>
        </is>
      </c>
      <c r="D19" s="300" t="n"/>
      <c r="E19" s="301" t="inlineStr">
        <is>
          <t xml:space="preserve">Loan </t>
        </is>
      </c>
      <c r="F19" s="302" t="inlineStr">
        <is>
          <t xml:space="preserve">Loan </t>
        </is>
      </c>
      <c r="G19" s="146" t="inlineStr">
        <is>
          <t>Year end</t>
        </is>
      </c>
      <c r="H19" s="303" t="inlineStr">
        <is>
          <t>Remuneration Paid</t>
        </is>
      </c>
    </row>
    <row r="20">
      <c r="B20" s="297" t="n"/>
      <c r="C20" s="185" t="n"/>
      <c r="D20" s="263" t="n"/>
      <c r="E20" s="304" t="inlineStr">
        <is>
          <t>Accepted</t>
        </is>
      </c>
      <c r="F20" s="305" t="inlineStr">
        <is>
          <t>Repaid</t>
        </is>
      </c>
      <c r="G20" s="306" t="inlineStr">
        <is>
          <t>Balance</t>
        </is>
      </c>
      <c r="H20" s="292" t="n"/>
    </row>
    <row r="21">
      <c r="B21" s="297" t="n"/>
      <c r="C21" s="193" t="inlineStr">
        <is>
          <t xml:space="preserve">G Krishna </t>
        </is>
      </c>
      <c r="D21" s="300" t="n"/>
      <c r="E21" s="733" t="n"/>
      <c r="F21" s="734" t="n"/>
      <c r="G21" s="735" t="n"/>
      <c r="H21" s="736" t="n"/>
    </row>
    <row r="22">
      <c r="B22" s="297" t="n"/>
      <c r="C22" s="73" t="inlineStr">
        <is>
          <t xml:space="preserve">G Krupan </t>
        </is>
      </c>
      <c r="D22" s="58" t="n"/>
      <c r="E22" s="734" t="n"/>
      <c r="F22" s="734" t="n"/>
      <c r="G22" s="735" t="n"/>
      <c r="H22" s="737" t="n"/>
    </row>
    <row r="23">
      <c r="B23" s="297" t="n"/>
      <c r="C23" s="312" t="inlineStr">
        <is>
          <t>G Aruna</t>
        </is>
      </c>
      <c r="D23" s="263" t="n"/>
      <c r="E23" s="738" t="n"/>
      <c r="F23" s="738" t="n"/>
      <c r="G23" s="739" t="n"/>
      <c r="H23" s="740" t="n"/>
    </row>
    <row r="24">
      <c r="B24" s="297" t="n"/>
      <c r="C24" s="88" t="n"/>
      <c r="E24" s="741" t="n"/>
      <c r="F24" s="741" t="n"/>
      <c r="G24" s="742" t="n"/>
      <c r="H24" s="742" t="n"/>
    </row>
    <row r="25">
      <c r="B25" s="603" t="inlineStr">
        <is>
          <t xml:space="preserve">During the year under review the company had the laibility of Rs.107,250/- towards CSR. </t>
        </is>
      </c>
      <c r="H25" s="742" t="n"/>
    </row>
    <row r="26">
      <c r="B26" s="604" t="inlineStr">
        <is>
          <t>expenditure  on CSR during the year is NIL.</t>
        </is>
      </c>
      <c r="H26" s="742" t="n"/>
    </row>
    <row r="27" ht="15.5" customHeight="1">
      <c r="B27" s="318" t="inlineStr">
        <is>
          <t xml:space="preserve">There are no  transactions during the year with companies struck off under section 248 of </t>
        </is>
      </c>
      <c r="C27" s="319" t="n"/>
      <c r="D27" s="319" t="n"/>
      <c r="E27" s="741" t="n"/>
      <c r="F27" s="741" t="n"/>
      <c r="G27" s="742" t="n"/>
      <c r="H27" s="742" t="n"/>
    </row>
    <row r="28" ht="15.5" customHeight="1">
      <c r="B28" s="318" t="inlineStr">
        <is>
          <t>the Companies Act, 2013 or section 560 of Companies Act, 1956.</t>
        </is>
      </c>
      <c r="C28" s="319" t="n"/>
      <c r="D28" s="319" t="n"/>
      <c r="E28" s="741" t="n"/>
      <c r="F28" s="741" t="n"/>
      <c r="G28" s="742" t="n"/>
      <c r="H28" s="742" t="n"/>
    </row>
    <row r="29" ht="15.5" customHeight="1">
      <c r="B29" s="318" t="inlineStr">
        <is>
          <t xml:space="preserve">There are no Loans or Advances in the nature of loans are granted to promoters, </t>
        </is>
      </c>
      <c r="C29" s="319" t="n"/>
      <c r="D29" s="319" t="n"/>
      <c r="E29" s="741" t="n"/>
      <c r="F29" s="741" t="n"/>
      <c r="G29" s="742" t="n"/>
      <c r="H29" s="742" t="n"/>
    </row>
    <row r="30" ht="15.5" customHeight="1">
      <c r="B30" s="318" t="inlineStr">
        <is>
          <t>directors, KMPs and the related parties (as defined under Companies Act, 2013,)</t>
        </is>
      </c>
      <c r="C30" s="319" t="n"/>
      <c r="D30" s="319" t="n"/>
      <c r="E30" s="741" t="n"/>
      <c r="F30" s="741" t="n"/>
      <c r="G30" s="742" t="n"/>
      <c r="H30" s="742" t="n"/>
    </row>
    <row r="31" ht="15.5" customHeight="1">
      <c r="B31" s="320" t="inlineStr">
        <is>
          <t>either severally or jointly with any other person.</t>
        </is>
      </c>
      <c r="C31" s="319" t="n"/>
      <c r="D31" s="319" t="n"/>
      <c r="E31" s="741" t="n"/>
      <c r="F31" s="741" t="n"/>
      <c r="G31" s="742" t="n"/>
      <c r="H31" s="742" t="n"/>
    </row>
    <row r="32">
      <c r="B32" s="297" t="n"/>
      <c r="C32" s="88" t="n"/>
      <c r="E32" s="741" t="n"/>
      <c r="F32" s="741" t="n"/>
      <c r="G32" s="742" t="n"/>
      <c r="H32" s="742" t="n"/>
    </row>
    <row r="33">
      <c r="G33" s="298" t="n"/>
    </row>
    <row r="34">
      <c r="C34" t="inlineStr">
        <is>
          <t>As per our report of even date</t>
        </is>
      </c>
    </row>
    <row r="35">
      <c r="C35">
        <f>BS!A32</f>
        <v/>
      </c>
      <c r="D35" s="743" t="n"/>
    </row>
    <row r="36">
      <c r="C36" t="inlineStr">
        <is>
          <t>Chartered Accountants</t>
        </is>
      </c>
      <c r="G36" s="282" t="inlineStr">
        <is>
          <t>Director</t>
        </is>
      </c>
    </row>
    <row r="37">
      <c r="C37" t="inlineStr">
        <is>
          <t>( Firm regn. No. 000383S)</t>
        </is>
      </c>
      <c r="G37" s="282" t="inlineStr">
        <is>
          <t>G Krishna</t>
        </is>
      </c>
    </row>
    <row r="38">
      <c r="C38" s="294" t="n"/>
      <c r="G38" s="282" t="inlineStr">
        <is>
          <t>DIN: 03336421</t>
        </is>
      </c>
    </row>
    <row r="39">
      <c r="G39" s="282" t="n"/>
    </row>
    <row r="40">
      <c r="C40" t="inlineStr">
        <is>
          <t>Om Prakash Bang</t>
        </is>
      </c>
      <c r="G40" s="613" t="n"/>
    </row>
    <row r="41">
      <c r="C41" t="inlineStr">
        <is>
          <t>Partner</t>
        </is>
      </c>
      <c r="G41" s="282" t="inlineStr">
        <is>
          <t>Director</t>
        </is>
      </c>
    </row>
    <row r="42">
      <c r="C42" t="inlineStr">
        <is>
          <t>Membership No. 018948</t>
        </is>
      </c>
      <c r="G42" s="282" t="inlineStr">
        <is>
          <t>G Krupan</t>
        </is>
      </c>
    </row>
    <row r="43">
      <c r="C43" t="inlineStr">
        <is>
          <t>Place: Hyderabad</t>
        </is>
      </c>
      <c r="G43" s="282" t="inlineStr">
        <is>
          <t>DIN : 03363685</t>
        </is>
      </c>
    </row>
    <row r="44">
      <c r="C44">
        <f>BS!A41</f>
        <v/>
      </c>
    </row>
  </sheetData>
  <mergeCells count="2">
    <mergeCell ref="B26:G26"/>
    <mergeCell ref="B25:G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C8" sqref="C8"/>
    </sheetView>
  </sheetViews>
  <sheetFormatPr baseColWidth="8" defaultColWidth="9" defaultRowHeight="14.5"/>
  <cols>
    <col width="34.90625" customWidth="1" min="1" max="1"/>
    <col width="9" customWidth="1" min="2" max="2"/>
    <col width="14.08984375" customWidth="1" min="3" max="3"/>
    <col width="12.54296875" customWidth="1" min="4" max="4"/>
    <col hidden="1" width="11.54296875" customWidth="1" min="5" max="6"/>
    <col hidden="1" width="9" customWidth="1" min="7" max="7"/>
    <col hidden="1" width="11.1796875" customWidth="1" min="8" max="8"/>
    <col hidden="1" width="12.453125" customWidth="1" min="9" max="9"/>
    <col hidden="1" width="15" customWidth="1" min="10" max="10"/>
    <col hidden="1" width="14.90625" customWidth="1" min="11" max="11"/>
    <col hidden="1" width="14" customWidth="1" min="12" max="12"/>
    <col hidden="1" width="12.36328125" customWidth="1" min="13" max="13"/>
    <col width="9" customWidth="1" min="14" max="15"/>
  </cols>
  <sheetData>
    <row r="1">
      <c r="A1" s="152" t="inlineStr">
        <is>
          <t>RAMSON AND GRANDSON JEWELLERS PRIVATE LIMITED</t>
        </is>
      </c>
      <c r="B1" s="146" t="n"/>
      <c r="C1" s="146" t="n"/>
      <c r="D1" s="146" t="n"/>
      <c r="E1" s="146" t="n"/>
      <c r="F1" s="300" t="n"/>
      <c r="G1" s="149" t="n"/>
    </row>
    <row r="2">
      <c r="A2" s="287" t="inlineStr">
        <is>
          <t>BALANCE  SHEET AS AT 31-03-2023</t>
        </is>
      </c>
      <c r="B2" s="135" t="n"/>
      <c r="C2" s="135" t="n"/>
      <c r="D2" s="135" t="n"/>
      <c r="E2" s="135" t="n"/>
      <c r="F2" s="511" t="n"/>
      <c r="G2" s="1" t="n"/>
    </row>
    <row r="3">
      <c r="A3" s="264" t="n"/>
      <c r="B3" s="607" t="n"/>
      <c r="C3" s="607" t="n"/>
      <c r="D3" s="607" t="n"/>
      <c r="E3" s="607" t="n"/>
      <c r="F3" s="608" t="n"/>
    </row>
    <row r="4" ht="29" customHeight="1">
      <c r="A4" s="264" t="inlineStr">
        <is>
          <t>Particulars</t>
        </is>
      </c>
      <c r="B4" s="287" t="inlineStr">
        <is>
          <t>Note No.</t>
        </is>
      </c>
      <c r="C4" s="237" t="inlineStr">
        <is>
          <t>AS AT 31st March 2023</t>
        </is>
      </c>
      <c r="D4" s="237" t="inlineStr">
        <is>
          <t>AS AT 31st March 2022</t>
        </is>
      </c>
      <c r="E4" s="237" t="inlineStr">
        <is>
          <t>AS AT 31st March 2021</t>
        </is>
      </c>
      <c r="F4" s="237" t="inlineStr">
        <is>
          <t>AS AT 31st March 2020</t>
        </is>
      </c>
    </row>
    <row r="5">
      <c r="A5" s="288" t="inlineStr">
        <is>
          <t>I. EQUTIY AND LAIBILITY</t>
        </is>
      </c>
      <c r="B5" s="243" t="n"/>
      <c r="C5" s="243" t="n"/>
      <c r="D5" s="744" t="n"/>
      <c r="E5" s="243" t="n"/>
      <c r="F5" s="243" t="n"/>
    </row>
    <row r="6">
      <c r="A6" s="288" t="inlineStr">
        <is>
          <t>(1) Share holders funds</t>
        </is>
      </c>
      <c r="B6" s="243" t="n"/>
      <c r="C6" s="243" t="n"/>
      <c r="D6" s="744" t="n"/>
      <c r="E6" s="744" t="n"/>
      <c r="F6" s="243" t="n"/>
    </row>
    <row r="7">
      <c r="A7" s="50" t="inlineStr">
        <is>
          <t xml:space="preserve">      (a) Share Capital</t>
        </is>
      </c>
      <c r="B7" s="243" t="n"/>
      <c r="C7" s="744">
        <f>Notes!D10</f>
        <v/>
      </c>
      <c r="D7" s="744">
        <f>Notes!F10</f>
        <v/>
      </c>
      <c r="E7" s="744">
        <f>[1]Notes!D10</f>
        <v/>
      </c>
      <c r="F7" s="745">
        <f>[1]Notes!F10</f>
        <v/>
      </c>
      <c r="G7" s="746" t="n"/>
      <c r="H7" s="745" t="n"/>
    </row>
    <row r="8">
      <c r="A8" s="50" t="inlineStr">
        <is>
          <t xml:space="preserve">     (b) Reserves and Surplus</t>
        </is>
      </c>
      <c r="B8" s="243" t="n"/>
      <c r="C8" s="744">
        <f>Notes!D41</f>
        <v/>
      </c>
      <c r="D8" s="744">
        <f>Notes!F41</f>
        <v/>
      </c>
      <c r="E8" s="744">
        <f>[1]Notes!D34</f>
        <v/>
      </c>
      <c r="F8" s="745">
        <f>[1]Notes!F34</f>
        <v/>
      </c>
      <c r="G8" s="746" t="n"/>
      <c r="H8" s="745" t="n"/>
      <c r="J8" s="647">
        <f>C7+C8+C10</f>
        <v/>
      </c>
      <c r="K8" s="647">
        <f>D7+D8+D10</f>
        <v/>
      </c>
      <c r="L8" s="647">
        <f>E7+E8+E10</f>
        <v/>
      </c>
      <c r="M8" s="647">
        <f>H7+H8+H10</f>
        <v/>
      </c>
    </row>
    <row r="9">
      <c r="A9" s="288" t="inlineStr">
        <is>
          <t>(2) Non Current Laibilities</t>
        </is>
      </c>
      <c r="B9" s="243" t="n"/>
      <c r="C9" s="744" t="n"/>
      <c r="D9" s="744" t="n"/>
      <c r="E9" s="744" t="n"/>
      <c r="F9" s="745" t="n"/>
      <c r="G9" s="746" t="n"/>
      <c r="H9" s="745" t="n"/>
      <c r="K9">
        <f>(J8+K8)/2</f>
        <v/>
      </c>
      <c r="L9">
        <f>(K8+L8)/2</f>
        <v/>
      </c>
      <c r="M9">
        <f>(L8+M8)/2</f>
        <v/>
      </c>
    </row>
    <row r="10">
      <c r="A10" s="50" t="inlineStr">
        <is>
          <t xml:space="preserve">     (a)Long Term Borrowings</t>
        </is>
      </c>
      <c r="B10" s="243" t="n"/>
      <c r="C10" s="744">
        <f>Notes!C47</f>
        <v/>
      </c>
      <c r="D10" s="744">
        <f>Notes!E47</f>
        <v/>
      </c>
      <c r="E10" s="744">
        <f>[1]Notes!C40</f>
        <v/>
      </c>
      <c r="F10" s="745">
        <f>[1]Notes!E40</f>
        <v/>
      </c>
      <c r="G10" s="746" t="n"/>
      <c r="H10" s="745" t="n"/>
    </row>
    <row r="11">
      <c r="A11" s="288" t="inlineStr">
        <is>
          <t>(3) Current Laibilities</t>
        </is>
      </c>
      <c r="B11" s="243" t="n"/>
      <c r="C11" s="744" t="n"/>
      <c r="D11" s="744" t="n"/>
      <c r="E11" s="744" t="n"/>
      <c r="F11" s="745" t="n"/>
      <c r="H11" s="745" t="n"/>
    </row>
    <row r="12">
      <c r="A12" s="50" t="inlineStr">
        <is>
          <t xml:space="preserve">     (a) Trade Payables</t>
        </is>
      </c>
      <c r="B12" s="243" t="n"/>
      <c r="C12" s="744">
        <f>Notes!D51</f>
        <v/>
      </c>
      <c r="D12" s="744">
        <f>Notes!F51</f>
        <v/>
      </c>
      <c r="E12" s="744">
        <f>[1]Notes!D44</f>
        <v/>
      </c>
      <c r="F12" s="745">
        <f>[1]Notes!F44</f>
        <v/>
      </c>
      <c r="H12" s="745" t="n"/>
      <c r="J12">
        <f>(C12+D12)/2</f>
        <v/>
      </c>
      <c r="K12">
        <f>(D12+E12)/2</f>
        <v/>
      </c>
      <c r="L12">
        <f>(E12+H12)/2</f>
        <v/>
      </c>
    </row>
    <row r="13">
      <c r="A13" s="50" t="inlineStr">
        <is>
          <t xml:space="preserve">   ( b ) Other current liabilities</t>
        </is>
      </c>
      <c r="B13" s="243" t="n"/>
      <c r="C13" s="744">
        <f>Notes!D60</f>
        <v/>
      </c>
      <c r="D13" s="744">
        <f>Notes!F60</f>
        <v/>
      </c>
      <c r="E13" s="747">
        <f>[1]Notes!D53</f>
        <v/>
      </c>
      <c r="F13" s="745">
        <f>[1]Notes!F53</f>
        <v/>
      </c>
      <c r="G13" s="746" t="n"/>
      <c r="H13" s="745" t="n"/>
    </row>
    <row r="14">
      <c r="A14" s="289" t="inlineStr">
        <is>
          <t>TOTAL</t>
        </is>
      </c>
      <c r="B14" s="243" t="n"/>
      <c r="C14" s="748">
        <f>SUM(C7:C13)</f>
        <v/>
      </c>
      <c r="D14" s="748">
        <f>SUM(D7:D13)</f>
        <v/>
      </c>
      <c r="E14" s="747">
        <f>SUM(E7:E13)+1</f>
        <v/>
      </c>
      <c r="F14" s="749">
        <f>SUM(F7:F13)</f>
        <v/>
      </c>
      <c r="H14" s="749" t="n"/>
    </row>
    <row r="15">
      <c r="A15" s="288" t="inlineStr">
        <is>
          <t>II. ASSETS</t>
        </is>
      </c>
      <c r="B15" s="243" t="n"/>
      <c r="C15" s="744" t="n"/>
      <c r="D15" s="744" t="n"/>
      <c r="E15" s="744" t="n"/>
      <c r="F15" s="745" t="n"/>
      <c r="H15" s="745" t="n"/>
    </row>
    <row r="16">
      <c r="A16" s="290" t="inlineStr">
        <is>
          <t>(1) Non Current Assets</t>
        </is>
      </c>
      <c r="B16" s="243" t="n"/>
      <c r="C16" s="744" t="n"/>
      <c r="D16" s="744" t="n"/>
      <c r="E16" s="744" t="n"/>
      <c r="F16" s="745" t="n"/>
      <c r="H16" s="745" t="n"/>
    </row>
    <row r="17">
      <c r="A17" s="50" t="inlineStr">
        <is>
          <t xml:space="preserve">      (a) Fixed Assets</t>
        </is>
      </c>
      <c r="B17" s="243" t="n"/>
      <c r="C17" s="744" t="n"/>
      <c r="D17" s="744" t="n"/>
      <c r="E17" s="744" t="n"/>
      <c r="F17" s="745" t="n"/>
      <c r="H17" s="745" t="n"/>
    </row>
    <row r="18">
      <c r="A18" s="50" t="inlineStr">
        <is>
          <t xml:space="preserve">            (i) Tangible Assets</t>
        </is>
      </c>
      <c r="B18" s="243" t="n"/>
      <c r="C18" s="744">
        <f>'Com Dep'!K13</f>
        <v/>
      </c>
      <c r="D18" s="744">
        <f>'Com Dep'!K14</f>
        <v/>
      </c>
      <c r="E18" s="744">
        <f>'[1]Dep as per Com Act'!K13</f>
        <v/>
      </c>
      <c r="F18" s="745" t="n"/>
      <c r="H18" s="745" t="n"/>
    </row>
    <row r="19">
      <c r="A19" s="50" t="inlineStr">
        <is>
          <t xml:space="preserve">      (b) Deffered Tax Assets</t>
        </is>
      </c>
      <c r="B19" s="243" t="n"/>
      <c r="C19" s="744">
        <f>'TB2023'!B28+'P&amp;L'!C23</f>
        <v/>
      </c>
      <c r="D19" s="744">
        <f>'Trial Bal'!B52-'P&amp;L'!D23</f>
        <v/>
      </c>
      <c r="E19" s="744">
        <f>'[1]Dep as per IT Act'!D49</f>
        <v/>
      </c>
      <c r="F19" s="745" t="n"/>
      <c r="G19" s="746" t="n"/>
      <c r="H19" s="745" t="n"/>
    </row>
    <row r="20">
      <c r="A20" s="291" t="inlineStr">
        <is>
          <t>( c ) Non Current Investments</t>
        </is>
      </c>
      <c r="B20" s="243" t="n"/>
      <c r="C20" s="744" t="n"/>
      <c r="D20" s="744">
        <f>Notes!F65</f>
        <v/>
      </c>
      <c r="E20" s="744" t="n"/>
      <c r="F20" s="745">
        <f>[1]Notes!F60</f>
        <v/>
      </c>
      <c r="G20" s="746" t="n"/>
      <c r="H20" s="745" t="n"/>
    </row>
    <row r="21">
      <c r="A21" s="50" t="inlineStr">
        <is>
          <t xml:space="preserve">      ( d ) Long term loans and Advances</t>
        </is>
      </c>
      <c r="B21" s="243" t="n"/>
      <c r="C21" s="744" t="n"/>
      <c r="D21" s="744">
        <f>Notes!F69</f>
        <v/>
      </c>
      <c r="E21" s="744">
        <f>[1]Notes!D64</f>
        <v/>
      </c>
      <c r="F21" s="750">
        <f>[1]Notes!F64</f>
        <v/>
      </c>
      <c r="H21" s="750" t="n"/>
      <c r="I21" s="1" t="n"/>
      <c r="J21" s="647" t="n"/>
    </row>
    <row r="22">
      <c r="A22" s="288" t="inlineStr">
        <is>
          <t>(2) Current Assets</t>
        </is>
      </c>
      <c r="B22" s="243" t="n"/>
      <c r="C22" s="744" t="n"/>
      <c r="D22" s="744" t="n"/>
      <c r="E22" s="744" t="n"/>
      <c r="F22" s="745" t="n"/>
      <c r="H22" s="745" t="n"/>
    </row>
    <row r="23">
      <c r="A23" s="50" t="inlineStr">
        <is>
          <t xml:space="preserve">      (a) Inventories</t>
        </is>
      </c>
      <c r="B23" s="243" t="n"/>
      <c r="C23" s="744">
        <f>Notes!D99</f>
        <v/>
      </c>
      <c r="D23" s="744">
        <f>Notes!F72</f>
        <v/>
      </c>
      <c r="E23" s="744">
        <f>[1]Notes!D67</f>
        <v/>
      </c>
      <c r="F23" s="745" t="n"/>
      <c r="G23" s="746" t="n"/>
      <c r="H23" s="745" t="n"/>
      <c r="I23" t="inlineStr">
        <is>
          <t>Av inventory</t>
        </is>
      </c>
      <c r="J23" s="730">
        <f>(C23+D23)/2</f>
        <v/>
      </c>
      <c r="K23" s="730">
        <f>(D23+E23)/2</f>
        <v/>
      </c>
      <c r="L23" s="730">
        <f>(E23+H23)/2</f>
        <v/>
      </c>
    </row>
    <row r="24">
      <c r="A24" s="50" t="inlineStr">
        <is>
          <t xml:space="preserve">      (b) Trade Receivables</t>
        </is>
      </c>
      <c r="B24" s="243" t="n"/>
      <c r="C24" s="744">
        <f>Notes!D76</f>
        <v/>
      </c>
      <c r="D24" s="744">
        <f>Notes!F76</f>
        <v/>
      </c>
      <c r="E24" s="744" t="n"/>
      <c r="F24" s="745">
        <f>[1]Notes!F71</f>
        <v/>
      </c>
      <c r="H24" s="745" t="n"/>
      <c r="I24" t="inlineStr">
        <is>
          <t>Av tr rec</t>
        </is>
      </c>
      <c r="J24">
        <f>(C24+D24)/2</f>
        <v/>
      </c>
      <c r="K24">
        <f>(D24+E24)/2</f>
        <v/>
      </c>
      <c r="L24">
        <f>(E24+H24)/2</f>
        <v/>
      </c>
    </row>
    <row r="25">
      <c r="A25" s="50" t="inlineStr">
        <is>
          <t xml:space="preserve">      ( c ) Cash and Bank Balances</t>
        </is>
      </c>
      <c r="B25" s="243" t="n"/>
      <c r="C25" s="744">
        <f>Notes!D81</f>
        <v/>
      </c>
      <c r="D25" s="744">
        <f>Notes!F81</f>
        <v/>
      </c>
      <c r="E25" s="744">
        <f>[1]Notes!D76</f>
        <v/>
      </c>
      <c r="F25" s="745">
        <f>[1]Notes!F76</f>
        <v/>
      </c>
      <c r="G25" s="746" t="n"/>
      <c r="H25" s="745" t="n"/>
    </row>
    <row r="26">
      <c r="A26" s="50" t="inlineStr">
        <is>
          <t xml:space="preserve">      (d) Other current assets</t>
        </is>
      </c>
      <c r="B26" s="243" t="n"/>
      <c r="C26" s="744">
        <f>Notes!D92</f>
        <v/>
      </c>
      <c r="D26" s="744">
        <f>Notes!F92</f>
        <v/>
      </c>
      <c r="E26" s="747">
        <f>[1]Notes!D84</f>
        <v/>
      </c>
      <c r="F26" s="745" t="n"/>
      <c r="G26" s="746" t="n"/>
      <c r="H26" s="745" t="n"/>
    </row>
    <row r="27">
      <c r="A27" s="289" t="inlineStr">
        <is>
          <t>TOTAL</t>
        </is>
      </c>
      <c r="B27" s="243" t="n"/>
      <c r="C27" s="748">
        <f>SUM(C18:C26)</f>
        <v/>
      </c>
      <c r="D27" s="748">
        <f>SUM(D18:D26)</f>
        <v/>
      </c>
      <c r="E27" s="747">
        <f>SUM(E18:E26)</f>
        <v/>
      </c>
      <c r="F27" s="749">
        <f>SUM(F18:F26)</f>
        <v/>
      </c>
      <c r="H27" s="749" t="n"/>
      <c r="J27" s="647">
        <f>(C23+C24+C25+C26)-(C12+C13)</f>
        <v/>
      </c>
      <c r="K27" s="647">
        <f>(D23+D24+D25+D26)-(D12+D13)</f>
        <v/>
      </c>
      <c r="L27" s="647">
        <f>(E23+E24+E25+E26)-(E12+E13)</f>
        <v/>
      </c>
      <c r="M27" s="647">
        <f>(H23+H24+H25+H26)-(H12+H13)</f>
        <v/>
      </c>
      <c r="N27" s="647" t="n"/>
    </row>
    <row r="28">
      <c r="A28" s="290" t="inlineStr">
        <is>
          <t>Significant accounting policies</t>
        </is>
      </c>
      <c r="B28" s="243" t="n"/>
      <c r="C28" s="744" t="n"/>
      <c r="D28" s="744" t="n"/>
      <c r="E28" s="744" t="n"/>
      <c r="F28" s="745" t="n"/>
      <c r="K28" s="655">
        <f>(J27+K27)/2</f>
        <v/>
      </c>
      <c r="L28" s="655">
        <f>(K27+L27)/2</f>
        <v/>
      </c>
      <c r="M28" s="655">
        <f>(L27+M27)/2</f>
        <v/>
      </c>
    </row>
    <row r="29">
      <c r="A29" s="290" t="inlineStr">
        <is>
          <t>Notes to Financial statements</t>
        </is>
      </c>
      <c r="B29" s="243" t="inlineStr">
        <is>
          <t>1 to 23</t>
        </is>
      </c>
      <c r="C29" s="751" t="n"/>
      <c r="D29" s="243" t="n"/>
      <c r="E29" s="744" t="n"/>
      <c r="F29" s="243" t="n"/>
    </row>
    <row r="30">
      <c r="A30" s="292" t="n"/>
      <c r="B30" s="257" t="n"/>
      <c r="C30" s="752" t="n"/>
      <c r="D30" s="257" t="n"/>
      <c r="E30" s="747" t="n"/>
      <c r="F30" s="257" t="n"/>
    </row>
    <row r="31">
      <c r="A31" t="inlineStr">
        <is>
          <t>As per our report of even date</t>
        </is>
      </c>
      <c r="B31" s="613" t="n"/>
      <c r="C31" s="613" t="n"/>
      <c r="D31" s="613" t="n"/>
      <c r="E31" s="613" t="n"/>
      <c r="F31" s="613" t="n"/>
    </row>
    <row r="32">
      <c r="A32" t="inlineStr">
        <is>
          <t>For O M N &amp; Associates</t>
        </is>
      </c>
      <c r="B32" s="613" t="n"/>
      <c r="C32" s="613" t="n"/>
      <c r="D32" s="613" t="n"/>
      <c r="E32" s="613" t="n"/>
      <c r="F32" s="613" t="n"/>
    </row>
    <row r="33">
      <c r="A33" t="inlineStr">
        <is>
          <t>Chartered Accountants</t>
        </is>
      </c>
      <c r="B33" s="613" t="n"/>
      <c r="C33" s="613" t="n"/>
      <c r="D33" s="613" t="n"/>
      <c r="E33" s="613" t="n"/>
      <c r="F33" s="613" t="n"/>
    </row>
    <row r="34">
      <c r="A34" t="inlineStr">
        <is>
          <t>( Firm regn. No. 000383S)</t>
        </is>
      </c>
      <c r="B34" s="613" t="n"/>
      <c r="C34" s="613" t="n"/>
      <c r="D34" s="613" t="n"/>
      <c r="F34" s="613" t="n"/>
    </row>
    <row r="35">
      <c r="A35" s="294" t="n"/>
      <c r="B35" s="613" t="n"/>
      <c r="C35" s="613" t="n"/>
      <c r="D35" s="282" t="inlineStr">
        <is>
          <t>Director</t>
        </is>
      </c>
      <c r="F35" s="613" t="n"/>
    </row>
    <row r="36">
      <c r="B36" s="613" t="n"/>
      <c r="C36" s="613" t="n"/>
      <c r="D36" s="282" t="inlineStr">
        <is>
          <t>G Krishna</t>
        </is>
      </c>
      <c r="F36" s="613" t="n"/>
    </row>
    <row r="37">
      <c r="A37" t="inlineStr">
        <is>
          <t>Om Prakash Bang</t>
        </is>
      </c>
      <c r="B37" s="613" t="n"/>
      <c r="C37" s="613" t="n"/>
      <c r="D37" s="282" t="inlineStr">
        <is>
          <t>DIN: 03336421</t>
        </is>
      </c>
    </row>
    <row r="38">
      <c r="A38" t="inlineStr">
        <is>
          <t>Partner</t>
        </is>
      </c>
      <c r="B38" s="613" t="n"/>
      <c r="C38" s="613" t="n"/>
      <c r="D38" s="282" t="n"/>
      <c r="F38" s="613" t="n"/>
    </row>
    <row r="39">
      <c r="A39" t="inlineStr">
        <is>
          <t>Membership No. 018948</t>
        </is>
      </c>
      <c r="B39" s="613" t="n"/>
      <c r="C39" s="613" t="n"/>
      <c r="D39" s="613" t="n"/>
      <c r="F39" s="613" t="n"/>
    </row>
    <row r="40">
      <c r="A40" t="inlineStr">
        <is>
          <t>Place: Hyderabad</t>
        </is>
      </c>
      <c r="B40" s="613" t="n"/>
      <c r="C40" s="613" t="n"/>
      <c r="D40" s="282" t="inlineStr">
        <is>
          <t>Director</t>
        </is>
      </c>
      <c r="F40" s="613" t="n"/>
    </row>
    <row r="41">
      <c r="A41" t="inlineStr">
        <is>
          <t>Date : 21-09-2023</t>
        </is>
      </c>
      <c r="B41" s="613" t="n"/>
      <c r="C41" s="613" t="n"/>
      <c r="D41" s="282" t="inlineStr">
        <is>
          <t>G Krupan</t>
        </is>
      </c>
      <c r="F41" s="613" t="n"/>
    </row>
    <row r="42">
      <c r="B42" s="613" t="n"/>
      <c r="C42" s="613" t="n"/>
      <c r="D42" s="282" t="inlineStr">
        <is>
          <t>DIN : 03363685</t>
        </is>
      </c>
      <c r="F42" s="613" t="n"/>
    </row>
    <row r="43">
      <c r="B43" s="613" t="n"/>
      <c r="C43" s="613" t="n"/>
      <c r="D43" s="613" t="n"/>
      <c r="E43" s="613" t="n"/>
      <c r="F43" s="613" t="n"/>
    </row>
    <row r="44">
      <c r="B44" s="613" t="n"/>
      <c r="C44" s="613" t="n"/>
      <c r="D44" s="613" t="n"/>
      <c r="E44" s="613" t="n"/>
      <c r="F44" s="613" t="n"/>
    </row>
    <row r="45">
      <c r="B45" s="613" t="n"/>
      <c r="C45" s="613" t="n"/>
      <c r="D45" s="613" t="n"/>
      <c r="E45" s="613" t="n"/>
      <c r="F45" s="613" t="n"/>
    </row>
  </sheetData>
  <mergeCells count="2">
    <mergeCell ref="A2:F2"/>
    <mergeCell ref="A1:F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topLeftCell="A36" workbookViewId="0">
      <selection activeCell="A54" sqref="A54"/>
    </sheetView>
  </sheetViews>
  <sheetFormatPr baseColWidth="8" defaultColWidth="9" defaultRowHeight="14.5"/>
  <cols>
    <col width="57.54296875" customWidth="1" min="1" max="1"/>
    <col width="13.08984375" customWidth="1" min="2" max="2"/>
    <col width="13.6328125" customWidth="1" min="3" max="3"/>
    <col hidden="1" width="12.90625" customWidth="1" min="4" max="5"/>
    <col width="11.1796875" customWidth="1" min="8" max="8"/>
  </cols>
  <sheetData>
    <row r="1">
      <c r="A1" s="609" t="inlineStr">
        <is>
          <t>RAMSON AND GRANDSON JEWELLERS PRIVATE LIMITED</t>
        </is>
      </c>
    </row>
    <row r="2">
      <c r="A2" s="610" t="inlineStr">
        <is>
          <t>CASH FLOW STATEMENT AS AT 31-03-2023</t>
        </is>
      </c>
      <c r="B2" s="306" t="n"/>
      <c r="C2" s="306" t="n"/>
      <c r="D2" s="306" t="n"/>
      <c r="E2" s="306" t="n"/>
    </row>
    <row r="3" ht="43.5" customHeight="1">
      <c r="A3" s="264" t="inlineStr">
        <is>
          <t>Pariculars</t>
        </is>
      </c>
      <c r="B3" s="265" t="inlineStr">
        <is>
          <t>AS AT
31st March 2023</t>
        </is>
      </c>
      <c r="C3" s="265" t="inlineStr">
        <is>
          <t>AS AT
31st March 2022</t>
        </is>
      </c>
      <c r="D3" s="265" t="inlineStr">
        <is>
          <t>AS AT
31st March 2021</t>
        </is>
      </c>
      <c r="E3" s="266" t="inlineStr">
        <is>
          <t>AS AT
31st March 2020</t>
        </is>
      </c>
    </row>
    <row r="4">
      <c r="A4" s="247" t="inlineStr">
        <is>
          <t>I.  Cash From Operating Activities</t>
        </is>
      </c>
      <c r="B4" s="753" t="n"/>
      <c r="C4" s="754" t="n"/>
      <c r="D4" s="50" t="n"/>
      <c r="E4" s="58" t="n"/>
    </row>
    <row r="5">
      <c r="A5" s="242" t="inlineStr">
        <is>
          <t>Net  Profit before tax</t>
        </is>
      </c>
      <c r="B5" s="755">
        <f>'P&amp;L'!C20</f>
        <v/>
      </c>
      <c r="C5" s="648">
        <f>'P&amp;L'!D20</f>
        <v/>
      </c>
      <c r="D5" s="756">
        <f>[1]PL!C21</f>
        <v/>
      </c>
      <c r="E5" s="757" t="n"/>
    </row>
    <row r="6">
      <c r="A6" s="242" t="inlineStr">
        <is>
          <t xml:space="preserve">Adjustments for </t>
        </is>
      </c>
      <c r="B6" s="755" t="n"/>
      <c r="C6" s="648" t="n"/>
      <c r="D6" s="756" t="n"/>
      <c r="E6" s="757" t="n"/>
    </row>
    <row r="7">
      <c r="A7" s="242" t="inlineStr">
        <is>
          <t>Depreciation</t>
        </is>
      </c>
      <c r="B7" s="755">
        <f>'P&amp;L'!C17</f>
        <v/>
      </c>
      <c r="C7" s="648">
        <f>'P&amp;L'!D17</f>
        <v/>
      </c>
      <c r="D7" s="756">
        <f>[1]PL!C18</f>
        <v/>
      </c>
      <c r="E7" s="757" t="n"/>
    </row>
    <row r="8" ht="15.5" customHeight="1">
      <c r="A8" s="272" t="inlineStr">
        <is>
          <t xml:space="preserve">Add:Appropriations- GST refund received </t>
        </is>
      </c>
      <c r="B8" s="710" t="n"/>
      <c r="C8" s="710" t="n"/>
      <c r="D8" s="756" t="n"/>
      <c r="E8" s="757" t="n"/>
    </row>
    <row r="9">
      <c r="A9" s="242" t="inlineStr">
        <is>
          <t>Loss / (Profit) on Sale of Asset</t>
        </is>
      </c>
      <c r="B9" s="755" t="n"/>
      <c r="C9" s="648" t="n"/>
      <c r="D9" s="756" t="n"/>
      <c r="E9" s="757" t="n"/>
    </row>
    <row r="10">
      <c r="A10" s="242" t="inlineStr">
        <is>
          <t>Financial Charges</t>
        </is>
      </c>
      <c r="B10" s="755" t="n"/>
      <c r="C10" s="648">
        <f>'P&amp;L'!D16</f>
        <v/>
      </c>
      <c r="D10" s="756">
        <f>[1]PL!C17</f>
        <v/>
      </c>
      <c r="E10" s="757" t="n"/>
    </row>
    <row r="11">
      <c r="A11" s="247" t="inlineStr">
        <is>
          <t>Operating Profit before working capital changes</t>
        </is>
      </c>
      <c r="B11" s="753">
        <f>SUM(B5:B10)</f>
        <v/>
      </c>
      <c r="C11" s="758">
        <f>SUM(C5:C10)</f>
        <v/>
      </c>
      <c r="D11" s="759">
        <f>SUM(D5:D10)</f>
        <v/>
      </c>
      <c r="E11" s="760">
        <f>SUM(E5:E10)-1</f>
        <v/>
      </c>
    </row>
    <row r="12">
      <c r="A12" s="247" t="inlineStr">
        <is>
          <t>Increase / Decrease in Working Capital</t>
        </is>
      </c>
      <c r="B12" s="753" t="n"/>
      <c r="C12" s="758" t="n"/>
      <c r="D12" s="756" t="n"/>
      <c r="E12" s="757" t="n"/>
    </row>
    <row r="13">
      <c r="A13" s="242" t="inlineStr">
        <is>
          <t>(Increase) / Decrease in Inventories</t>
        </is>
      </c>
      <c r="B13" s="755">
        <f>BS!D23-BS!C23</f>
        <v/>
      </c>
      <c r="C13" s="648">
        <f>BS!E23-BS!D23</f>
        <v/>
      </c>
      <c r="D13" s="756">
        <f>[1]BS!D23-[1]BS!C23</f>
        <v/>
      </c>
      <c r="E13" s="757" t="n"/>
    </row>
    <row r="14">
      <c r="A14" s="242" t="inlineStr">
        <is>
          <t>(Increase) / Decrease in Sundry Debtors</t>
        </is>
      </c>
      <c r="B14" s="755">
        <f>BS!D24-BS!C24</f>
        <v/>
      </c>
      <c r="C14" s="648">
        <f>BS!E24-BS!D24</f>
        <v/>
      </c>
      <c r="D14" s="756">
        <f>[1]BS!D24-[1]BS!C24</f>
        <v/>
      </c>
      <c r="E14" s="757" t="n"/>
    </row>
    <row r="15">
      <c r="A15" s="242" t="inlineStr">
        <is>
          <t>(Increase) / Decrease in Loans &amp; Advances</t>
        </is>
      </c>
      <c r="B15" s="755" t="n"/>
      <c r="C15" s="648" t="n"/>
      <c r="D15" s="756" t="n"/>
      <c r="E15" s="757" t="n"/>
    </row>
    <row r="16">
      <c r="A16" s="242" t="inlineStr">
        <is>
          <t>(Increase) / Decrease in Other Current Assets</t>
        </is>
      </c>
      <c r="B16" s="755">
        <f>BS!D26-BS!C26</f>
        <v/>
      </c>
      <c r="C16" s="648">
        <f>BS!E26-BS!D26</f>
        <v/>
      </c>
      <c r="D16" s="756">
        <f>[1]BS!D26-[1]BS!C26</f>
        <v/>
      </c>
      <c r="E16" s="757" t="n"/>
    </row>
    <row r="17">
      <c r="A17" s="242" t="inlineStr">
        <is>
          <t>Increase / (Decrease) in Creditors</t>
        </is>
      </c>
      <c r="B17" s="755">
        <f>BS!C12-BS!D12</f>
        <v/>
      </c>
      <c r="C17" s="648">
        <f>BS!D12-BS!E12</f>
        <v/>
      </c>
      <c r="D17" s="756">
        <f>[1]BS!C12-[1]BS!D12</f>
        <v/>
      </c>
      <c r="E17" s="757" t="n"/>
    </row>
    <row r="18">
      <c r="A18" s="242" t="inlineStr">
        <is>
          <t>Increase / (Decrease) in Other Current Liabilities</t>
        </is>
      </c>
      <c r="B18" s="755">
        <f>BS!C13-BS!D13</f>
        <v/>
      </c>
      <c r="C18" s="648">
        <f>BS!D13-BS!E13</f>
        <v/>
      </c>
      <c r="D18" s="756">
        <f>[1]BS!C13-[1]BS!D13</f>
        <v/>
      </c>
      <c r="E18" s="757" t="n"/>
    </row>
    <row r="19">
      <c r="A19" s="247" t="inlineStr">
        <is>
          <t>Cash Generated/Used in Operations</t>
        </is>
      </c>
      <c r="B19" s="753">
        <f>SUM(B11:B18)</f>
        <v/>
      </c>
      <c r="C19" s="758">
        <f>SUM(C11:C18)</f>
        <v/>
      </c>
      <c r="D19" s="759">
        <f>SUM(D11:D18)</f>
        <v/>
      </c>
      <c r="E19" s="760">
        <f>SUM(E11:E18)</f>
        <v/>
      </c>
    </row>
    <row r="20">
      <c r="A20" s="242" t="inlineStr">
        <is>
          <t>Income Tax Paid</t>
        </is>
      </c>
      <c r="B20" s="755">
        <f>-'P&amp;L'!C22</f>
        <v/>
      </c>
      <c r="C20" s="648">
        <f>-'P&amp;L'!D22</f>
        <v/>
      </c>
      <c r="D20" s="756">
        <f>-[1]PL!C23</f>
        <v/>
      </c>
      <c r="E20" s="757" t="n"/>
    </row>
    <row r="21">
      <c r="A21" s="242" t="inlineStr">
        <is>
          <t>Income Tax of Prev Year</t>
        </is>
      </c>
      <c r="B21" s="755" t="n"/>
      <c r="C21" s="648" t="n"/>
      <c r="D21" s="756" t="n"/>
      <c r="E21" s="757" t="n"/>
    </row>
    <row r="22">
      <c r="A22" s="242" t="inlineStr">
        <is>
          <t>Expenses Pertaing to PrevYear</t>
        </is>
      </c>
      <c r="B22" s="755" t="n"/>
      <c r="C22" s="648" t="n"/>
      <c r="D22" s="756" t="n"/>
      <c r="E22" s="757" t="n"/>
    </row>
    <row r="23">
      <c r="A23" s="247" t="inlineStr">
        <is>
          <t>Net Cash Flow From Operating Activities - I</t>
        </is>
      </c>
      <c r="B23" s="753" t="n"/>
      <c r="C23" s="758" t="n"/>
      <c r="D23" s="756" t="n"/>
      <c r="E23" s="757" t="n"/>
    </row>
    <row r="24">
      <c r="A24" s="242" t="inlineStr">
        <is>
          <t>II. Cash From Investing Activities:</t>
        </is>
      </c>
      <c r="B24" s="755" t="n"/>
      <c r="C24" s="648" t="n"/>
      <c r="D24" s="756" t="n"/>
      <c r="E24" s="757" t="n"/>
    </row>
    <row r="25">
      <c r="A25" s="242" t="inlineStr">
        <is>
          <t>Proceeds from Sale of Fixed Assets</t>
        </is>
      </c>
      <c r="B25" s="755" t="n"/>
      <c r="C25" s="648" t="n"/>
      <c r="D25" s="756" t="n"/>
      <c r="E25" s="757" t="n"/>
    </row>
    <row r="26">
      <c r="A26" s="242" t="inlineStr">
        <is>
          <t xml:space="preserve">Purchase of Fixed Assets </t>
        </is>
      </c>
      <c r="B26" s="755">
        <f>-'Com Dep'!C13</f>
        <v/>
      </c>
      <c r="C26" s="648">
        <f>-'Com Dep'!C14</f>
        <v/>
      </c>
      <c r="D26" s="756">
        <f>-'[1]Dep as per Com Act'!C13</f>
        <v/>
      </c>
      <c r="E26" s="757" t="n"/>
    </row>
    <row r="27">
      <c r="A27" s="242" t="inlineStr">
        <is>
          <t xml:space="preserve"> Increase  in Investments</t>
        </is>
      </c>
      <c r="B27" s="755" t="n"/>
      <c r="C27" s="648" t="n"/>
      <c r="D27" s="756">
        <f>[1]BS!D20-[1]BS!C20</f>
        <v/>
      </c>
      <c r="E27" s="757" t="n"/>
    </row>
    <row r="28">
      <c r="A28" s="242" t="inlineStr">
        <is>
          <t>Sale of Investments</t>
        </is>
      </c>
      <c r="B28" s="755" t="n"/>
      <c r="C28" s="648" t="n"/>
      <c r="D28" s="756" t="n"/>
      <c r="E28" s="757" t="n"/>
    </row>
    <row r="29">
      <c r="A29" s="242" t="inlineStr">
        <is>
          <t>Interest Received on Deposits</t>
        </is>
      </c>
      <c r="B29" s="755" t="n"/>
      <c r="C29" s="648" t="n"/>
      <c r="D29" s="756" t="n"/>
      <c r="E29" s="757" t="n"/>
    </row>
    <row r="30">
      <c r="A30" s="247" t="inlineStr">
        <is>
          <t>Net Cash Flow From Investing Activities - II</t>
        </is>
      </c>
      <c r="B30" s="753">
        <f>SUM(B20:B29)</f>
        <v/>
      </c>
      <c r="C30" s="758">
        <f>SUM(C20:C29)</f>
        <v/>
      </c>
      <c r="D30" s="759">
        <f>SUM(D20:D29)</f>
        <v/>
      </c>
      <c r="E30" s="760">
        <f>SUM(E20:E29)</f>
        <v/>
      </c>
    </row>
    <row r="31">
      <c r="A31" s="247" t="inlineStr">
        <is>
          <t>III. Cash From Financing Activities</t>
        </is>
      </c>
      <c r="B31" s="753" t="n"/>
      <c r="C31" s="758" t="n"/>
      <c r="D31" s="756" t="n"/>
      <c r="E31" s="757" t="n"/>
    </row>
    <row r="32">
      <c r="A32" s="242" t="inlineStr">
        <is>
          <t>Increase / (decrease) in Secured Loans</t>
        </is>
      </c>
      <c r="B32" s="755">
        <f>BS!C10-BS!D10</f>
        <v/>
      </c>
      <c r="C32" s="648">
        <f>BS!D10-BS!E10</f>
        <v/>
      </c>
      <c r="D32" s="756">
        <f>[1]BS!C10-[1]BS!D10</f>
        <v/>
      </c>
      <c r="E32" s="757" t="n"/>
    </row>
    <row r="33">
      <c r="A33" s="242" t="inlineStr">
        <is>
          <t>(Increase)/decrease in long term loans and advances</t>
        </is>
      </c>
      <c r="B33" s="755">
        <f>BS!D21-BS!C21</f>
        <v/>
      </c>
      <c r="C33" s="648">
        <f>BS!E21-BS!D21</f>
        <v/>
      </c>
      <c r="D33" s="756">
        <f>[1]BS!D21-[1]BS!C21</f>
        <v/>
      </c>
      <c r="E33" s="757" t="n"/>
    </row>
    <row r="34">
      <c r="A34" s="242" t="inlineStr">
        <is>
          <t>Foreign Exchange Fluctuations</t>
        </is>
      </c>
      <c r="B34" s="755" t="n"/>
      <c r="C34" s="648" t="n"/>
      <c r="D34" s="756" t="n"/>
      <c r="E34" s="757" t="n"/>
    </row>
    <row r="35">
      <c r="A35" s="242" t="inlineStr">
        <is>
          <t>Financial Charges</t>
        </is>
      </c>
      <c r="B35" s="755" t="n"/>
      <c r="C35" s="648">
        <f>-'P&amp;L'!D16</f>
        <v/>
      </c>
      <c r="D35" s="756">
        <f>-[1]PL!C17</f>
        <v/>
      </c>
      <c r="E35" s="757" t="n"/>
    </row>
    <row r="36">
      <c r="A36" s="247" t="inlineStr">
        <is>
          <t>Net Cash Flow From Financing Activities - III</t>
        </is>
      </c>
      <c r="B36" s="753">
        <f>SUM(B32:B35)</f>
        <v/>
      </c>
      <c r="C36" s="758">
        <f>SUM(C32:C35)</f>
        <v/>
      </c>
      <c r="D36" s="759">
        <f>SUM(D32:D35)</f>
        <v/>
      </c>
      <c r="E36" s="760">
        <f>SUM(E32:E35)</f>
        <v/>
      </c>
    </row>
    <row r="37">
      <c r="A37" s="247" t="inlineStr">
        <is>
          <t>Increase /(decrease) in cash &amp; cash equivalent ( I+II+III )</t>
        </is>
      </c>
      <c r="B37" s="761">
        <f>B19+B30+B36</f>
        <v/>
      </c>
      <c r="C37" s="761">
        <f>C19+C30+C36-1</f>
        <v/>
      </c>
      <c r="D37" s="761">
        <f>D19+D30+D36</f>
        <v/>
      </c>
      <c r="E37" s="761">
        <f>E19+E30+E36</f>
        <v/>
      </c>
      <c r="H37" s="746" t="n"/>
    </row>
    <row r="38">
      <c r="A38" s="247" t="inlineStr">
        <is>
          <t>Reconciliation :</t>
        </is>
      </c>
      <c r="B38" s="753" t="n"/>
      <c r="C38" s="758" t="n"/>
      <c r="D38" s="756" t="n"/>
      <c r="E38" s="757" t="n"/>
    </row>
    <row r="39">
      <c r="A39" s="242" t="inlineStr">
        <is>
          <t>Cash &amp; Cash Equivalents at the beginning of the year</t>
        </is>
      </c>
      <c r="B39" s="755">
        <f>BS!D25</f>
        <v/>
      </c>
      <c r="C39" s="648">
        <f>BS!E25</f>
        <v/>
      </c>
      <c r="D39" s="756">
        <f>[1]BS!D25</f>
        <v/>
      </c>
      <c r="E39" s="757" t="n"/>
    </row>
    <row r="40">
      <c r="A40" s="242" t="inlineStr">
        <is>
          <t>Closing  Cash &amp; Cash Equivalents at the end of the year</t>
        </is>
      </c>
      <c r="B40" s="755">
        <f>BS!C25</f>
        <v/>
      </c>
      <c r="C40" s="648">
        <f>BS!D25</f>
        <v/>
      </c>
      <c r="D40" s="756">
        <f>[1]BS!C25</f>
        <v/>
      </c>
      <c r="E40" s="757" t="n"/>
    </row>
    <row r="41">
      <c r="A41" s="242" t="inlineStr">
        <is>
          <t>Increase /(decrease) in cash &amp; cash equivalents at  end of  year</t>
        </is>
      </c>
      <c r="B41" s="755">
        <f>B40-B39</f>
        <v/>
      </c>
      <c r="C41" s="648">
        <f>C40-C39</f>
        <v/>
      </c>
      <c r="D41" s="756">
        <f>D40-D39</f>
        <v/>
      </c>
      <c r="E41" s="756">
        <f>E40-E39</f>
        <v/>
      </c>
    </row>
    <row r="42">
      <c r="A42" s="256" t="inlineStr">
        <is>
          <t>As per our report of even date</t>
        </is>
      </c>
      <c r="B42" s="762" t="n"/>
      <c r="C42" s="763" t="n"/>
      <c r="D42" s="764" t="n"/>
      <c r="E42" s="765" t="n"/>
      <c r="H42" s="647">
        <f>C41-C37</f>
        <v/>
      </c>
    </row>
    <row r="43"/>
    <row r="44">
      <c r="A44">
        <f>BS!A32</f>
        <v/>
      </c>
    </row>
    <row r="45">
      <c r="A45" t="inlineStr">
        <is>
          <t>Chartered Accountants</t>
        </is>
      </c>
      <c r="E45" s="746" t="n"/>
    </row>
    <row r="46">
      <c r="A46" t="inlineStr">
        <is>
          <t>Firm regn. No. 000383S</t>
        </is>
      </c>
      <c r="C46" s="282" t="inlineStr">
        <is>
          <t>Director</t>
        </is>
      </c>
      <c r="E46" s="730" t="n"/>
    </row>
    <row r="47">
      <c r="C47" s="282" t="inlineStr">
        <is>
          <t>G Krishna</t>
        </is>
      </c>
    </row>
    <row r="48">
      <c r="C48" s="282" t="inlineStr">
        <is>
          <t>DIN: 03336421</t>
        </is>
      </c>
    </row>
    <row r="49">
      <c r="E49" s="283" t="n"/>
    </row>
    <row r="50">
      <c r="A50" t="inlineStr">
        <is>
          <t>Om Prakash Bang</t>
        </is>
      </c>
      <c r="E50" s="766" t="n"/>
    </row>
    <row r="51">
      <c r="A51" t="inlineStr">
        <is>
          <t>Partner</t>
        </is>
      </c>
      <c r="E51" s="766" t="n"/>
    </row>
    <row r="52">
      <c r="A52" t="inlineStr">
        <is>
          <t>Membership No. 018948</t>
        </is>
      </c>
      <c r="C52" s="282" t="inlineStr">
        <is>
          <t>Director</t>
        </is>
      </c>
      <c r="E52" s="767" t="n"/>
    </row>
    <row r="53">
      <c r="A53" t="inlineStr">
        <is>
          <t>Place: Hyderabad</t>
        </is>
      </c>
      <c r="C53" s="282" t="inlineStr">
        <is>
          <t>G Krupan</t>
        </is>
      </c>
    </row>
    <row r="54">
      <c r="A54">
        <f>BS!A41</f>
        <v/>
      </c>
      <c r="C54" s="282" t="inlineStr">
        <is>
          <t>DIN : 03363685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A10" workbookViewId="0">
      <selection activeCell="C24" sqref="C24"/>
    </sheetView>
  </sheetViews>
  <sheetFormatPr baseColWidth="8" defaultColWidth="9.453125" defaultRowHeight="14.5"/>
  <cols>
    <col width="48.6328125" customWidth="1" min="1" max="1"/>
    <col width="9" customWidth="1" min="2" max="2"/>
    <col width="15.81640625" customWidth="1" min="3" max="3"/>
    <col width="18" customWidth="1" min="4" max="4"/>
    <col hidden="1" width="14.36328125" customWidth="1" min="5" max="6"/>
    <col hidden="1" width="9.453125" customWidth="1" min="7" max="7"/>
    <col hidden="1" width="16.36328125" customWidth="1" min="8" max="8"/>
    <col hidden="1" width="9.81640625" customWidth="1" min="9" max="9"/>
    <col hidden="1" width="12.08984375" customWidth="1" min="10" max="10"/>
    <col width="12.08984375" customWidth="1" min="11" max="11"/>
    <col width="14.6328125" bestFit="1" customWidth="1" min="12" max="12"/>
  </cols>
  <sheetData>
    <row r="1">
      <c r="A1" s="609" t="inlineStr">
        <is>
          <t>RAMSON AND GRANDSON JEWELLERS PRIVATE LIMITED</t>
        </is>
      </c>
    </row>
    <row r="2">
      <c r="A2" s="606" t="inlineStr">
        <is>
          <t>PROFIT AND LOSS STATEMENT FOR THE YEAR ENDED 31-03-2023</t>
        </is>
      </c>
      <c r="B2" s="135" t="n"/>
      <c r="C2" s="135" t="n"/>
      <c r="D2" s="135" t="n"/>
      <c r="E2" s="135" t="n"/>
      <c r="F2" s="135" t="n"/>
    </row>
    <row r="3">
      <c r="A3" s="611" t="n"/>
      <c r="B3" s="768" t="n"/>
      <c r="C3" s="768" t="n"/>
      <c r="D3" s="768" t="n"/>
      <c r="E3" s="768" t="n"/>
      <c r="F3" s="768" t="n"/>
    </row>
    <row r="4" ht="29" customHeight="1">
      <c r="A4" s="234" t="inlineStr">
        <is>
          <t>Particulars</t>
        </is>
      </c>
      <c r="B4" s="235" t="inlineStr">
        <is>
          <t>Note No.</t>
        </is>
      </c>
      <c r="C4" s="236" t="inlineStr">
        <is>
          <t>AS AT 31st March 2023</t>
        </is>
      </c>
      <c r="D4" s="237" t="inlineStr">
        <is>
          <t>AS AT 31st March 2022</t>
        </is>
      </c>
      <c r="E4" s="236" t="inlineStr">
        <is>
          <t>AS AT 31st March 2021</t>
        </is>
      </c>
      <c r="F4" s="236" t="inlineStr">
        <is>
          <t>AS AT 31st March 2020</t>
        </is>
      </c>
      <c r="H4" s="655" t="n"/>
    </row>
    <row r="5">
      <c r="A5" s="238" t="inlineStr">
        <is>
          <t>I.  Revenue from operations</t>
        </is>
      </c>
      <c r="B5" s="239" t="n"/>
      <c r="C5" s="769">
        <f>Notes!D95</f>
        <v/>
      </c>
      <c r="D5" s="769">
        <f>Notes!F95</f>
        <v/>
      </c>
      <c r="E5" s="769">
        <f>[1]Notes!D86</f>
        <v/>
      </c>
      <c r="F5" s="770">
        <f>[1]Notes!F86</f>
        <v/>
      </c>
      <c r="H5" s="655" t="n"/>
    </row>
    <row r="6">
      <c r="A6" s="242" t="inlineStr">
        <is>
          <t>II.Other income</t>
        </is>
      </c>
      <c r="B6" s="243" t="n"/>
      <c r="C6" s="744">
        <f>'Sub Grouping'!D26</f>
        <v/>
      </c>
      <c r="D6" s="243" t="n"/>
      <c r="E6" s="747">
        <f>[1]TB2021!O125+[1]TB2021!O123</f>
        <v/>
      </c>
      <c r="F6" s="745" t="n"/>
      <c r="H6" s="655" t="n"/>
    </row>
    <row r="7">
      <c r="A7" s="247" t="inlineStr">
        <is>
          <t xml:space="preserve">                                                                Total Revenue ( I + II )</t>
        </is>
      </c>
      <c r="B7" s="243" t="n"/>
      <c r="C7" s="748">
        <f>SUM(C5:C6)</f>
        <v/>
      </c>
      <c r="D7" s="771">
        <f>SUM(D5:D6)</f>
        <v/>
      </c>
      <c r="E7" s="747">
        <f>SUM(E5:E6)</f>
        <v/>
      </c>
      <c r="F7" s="749">
        <f>SUM(F5:F6)</f>
        <v/>
      </c>
      <c r="H7" s="655" t="n"/>
    </row>
    <row r="8">
      <c r="A8" s="242" t="n"/>
      <c r="B8" s="243" t="n"/>
      <c r="C8" s="744" t="n"/>
      <c r="D8" s="243" t="n"/>
      <c r="E8" s="744" t="n"/>
      <c r="F8" s="745" t="n"/>
      <c r="H8" s="655" t="n"/>
    </row>
    <row r="9">
      <c r="A9" s="242" t="inlineStr">
        <is>
          <t>III. Expenses</t>
        </is>
      </c>
      <c r="B9" s="243" t="n"/>
      <c r="C9" s="744" t="n"/>
      <c r="D9" s="243" t="n"/>
      <c r="E9" s="744" t="n"/>
      <c r="F9" s="745" t="n"/>
      <c r="H9" s="655" t="n"/>
      <c r="J9" s="647">
        <f>C7-C10-C13</f>
        <v/>
      </c>
      <c r="K9" s="647" t="n"/>
      <c r="L9" s="647" t="n"/>
    </row>
    <row r="10">
      <c r="A10" s="242" t="inlineStr">
        <is>
          <t xml:space="preserve">       (a)Purchase of stock in trade</t>
        </is>
      </c>
      <c r="B10" s="243" t="n"/>
      <c r="C10" s="744">
        <f>Notes!D96</f>
        <v/>
      </c>
      <c r="D10" s="744">
        <f>Notes!F96</f>
        <v/>
      </c>
      <c r="E10" s="744" t="n"/>
      <c r="F10" s="745">
        <f>[1]Notes!F87</f>
        <v/>
      </c>
      <c r="H10" s="655" t="n"/>
    </row>
    <row r="11">
      <c r="A11" s="242" t="inlineStr">
        <is>
          <t xml:space="preserve">      (b) Loss in commodities derevatives ( Hedging ) </t>
        </is>
      </c>
      <c r="B11" s="243" t="n"/>
      <c r="C11" s="744" t="n"/>
      <c r="D11" s="744" t="n"/>
      <c r="E11" s="744" t="n"/>
      <c r="F11" s="745" t="n"/>
      <c r="H11" s="655" t="n"/>
    </row>
    <row r="12">
      <c r="A12" s="242" t="inlineStr">
        <is>
          <t xml:space="preserve">       (b)Changes in inventories of</t>
        </is>
      </c>
      <c r="B12" s="243" t="n"/>
      <c r="C12" s="744" t="n"/>
      <c r="D12" s="744" t="n"/>
      <c r="E12" s="744" t="n"/>
      <c r="F12" s="745" t="n"/>
      <c r="H12" s="655" t="n"/>
    </row>
    <row r="13">
      <c r="A13" s="242" t="inlineStr">
        <is>
          <t xml:space="preserve">             stock in trade.</t>
        </is>
      </c>
      <c r="B13" s="243" t="n"/>
      <c r="C13" s="744">
        <f>Notes!D101</f>
        <v/>
      </c>
      <c r="D13" s="744">
        <f>Notes!F101</f>
        <v/>
      </c>
      <c r="E13" s="744" t="n"/>
      <c r="F13" s="750">
        <f>[1]Notes!F92</f>
        <v/>
      </c>
      <c r="H13" s="655" t="n"/>
    </row>
    <row r="14">
      <c r="A14" s="242" t="inlineStr">
        <is>
          <t xml:space="preserve">      ( c ) Emloyee benefits expense</t>
        </is>
      </c>
      <c r="B14" s="243" t="n"/>
      <c r="C14" s="744">
        <f>Notes!D106</f>
        <v/>
      </c>
      <c r="D14" s="744">
        <f>Notes!F106</f>
        <v/>
      </c>
      <c r="E14" s="744" t="n"/>
      <c r="F14" s="745">
        <f>[1]Notes!F97</f>
        <v/>
      </c>
      <c r="H14" s="655" t="n"/>
    </row>
    <row r="15">
      <c r="A15" s="242" t="n"/>
      <c r="B15" s="243" t="n"/>
      <c r="C15" s="744" t="n"/>
      <c r="D15" s="744" t="n"/>
      <c r="E15" s="744" t="n"/>
      <c r="F15" s="745" t="n"/>
      <c r="H15" s="655" t="n"/>
    </row>
    <row r="16">
      <c r="A16" s="242" t="inlineStr">
        <is>
          <t xml:space="preserve">       (d) Finance cost</t>
        </is>
      </c>
      <c r="B16" s="243" t="n"/>
      <c r="C16" s="744" t="n"/>
      <c r="D16" s="744" t="n"/>
      <c r="E16" s="744">
        <f>[1]TB2021!N138</f>
        <v/>
      </c>
      <c r="F16" s="745" t="n"/>
      <c r="H16" s="655" t="n"/>
    </row>
    <row r="17">
      <c r="A17" s="242" t="inlineStr">
        <is>
          <t xml:space="preserve">       (e) Depreciation</t>
        </is>
      </c>
      <c r="B17" s="243" t="n"/>
      <c r="C17" s="744">
        <f>'Com Dep'!H13</f>
        <v/>
      </c>
      <c r="D17" s="744">
        <f>'Com Dep'!H14</f>
        <v/>
      </c>
      <c r="E17" s="744" t="n"/>
      <c r="F17" s="745" t="n"/>
      <c r="H17" s="655" t="n"/>
    </row>
    <row r="18">
      <c r="A18" s="242" t="inlineStr">
        <is>
          <t xml:space="preserve">       (f) Other expenses</t>
        </is>
      </c>
      <c r="B18" s="243" t="n"/>
      <c r="C18" s="744">
        <f>Notes!D121</f>
        <v/>
      </c>
      <c r="D18" s="744">
        <f>Notes!F121</f>
        <v/>
      </c>
      <c r="E18" s="747" t="n"/>
      <c r="F18" s="750">
        <f>[1]Notes!F112</f>
        <v/>
      </c>
      <c r="H18" s="655" t="n"/>
    </row>
    <row r="19">
      <c r="A19" s="253" t="inlineStr">
        <is>
          <t>Total Expenses</t>
        </is>
      </c>
      <c r="B19" s="243" t="n"/>
      <c r="C19" s="748">
        <f>SUM(C10:C18)</f>
        <v/>
      </c>
      <c r="D19" s="771">
        <f>SUM(D10:D18)</f>
        <v/>
      </c>
      <c r="E19" s="747">
        <f>SUM(E10:E18)</f>
        <v/>
      </c>
      <c r="F19" s="749">
        <f>SUM(F10:F18)</f>
        <v/>
      </c>
      <c r="H19" s="655" t="n"/>
      <c r="I19" s="647" t="n"/>
      <c r="L19" s="647" t="n"/>
    </row>
    <row r="20">
      <c r="A20" s="242" t="inlineStr">
        <is>
          <t>Profit before Tax</t>
        </is>
      </c>
      <c r="B20" s="243" t="n"/>
      <c r="C20" s="744">
        <f>C7-C19</f>
        <v/>
      </c>
      <c r="D20" s="751">
        <f>D7-D19</f>
        <v/>
      </c>
      <c r="E20" s="744" t="n"/>
      <c r="F20" s="745">
        <f>F7-F19</f>
        <v/>
      </c>
      <c r="H20" s="655" t="n"/>
    </row>
    <row r="21">
      <c r="A21" s="242" t="inlineStr">
        <is>
          <t>Tax Expenses</t>
        </is>
      </c>
      <c r="B21" s="243" t="n"/>
      <c r="C21" s="744" t="n"/>
      <c r="D21" s="745" t="n"/>
      <c r="E21" s="744" t="n"/>
      <c r="F21" s="745" t="n"/>
      <c r="H21" s="655" t="n"/>
    </row>
    <row r="22">
      <c r="A22" s="242" t="inlineStr">
        <is>
          <t>Current Tax</t>
        </is>
      </c>
      <c r="B22" s="243" t="n"/>
      <c r="C22" s="744">
        <f>'IT Dep'!H63</f>
        <v/>
      </c>
      <c r="D22" s="745" t="n"/>
      <c r="E22" s="744" t="n"/>
      <c r="F22" s="745" t="n"/>
      <c r="H22" s="655" t="n"/>
    </row>
    <row r="23">
      <c r="A23" s="242" t="inlineStr">
        <is>
          <t>Deffered Tax</t>
        </is>
      </c>
      <c r="B23" s="243" t="n"/>
      <c r="C23" s="744" t="n"/>
      <c r="D23" s="750" t="n"/>
      <c r="E23" s="744" t="n"/>
      <c r="F23" s="745" t="n"/>
      <c r="H23" s="655" t="n"/>
    </row>
    <row r="24">
      <c r="A24" s="242" t="inlineStr">
        <is>
          <t>Profit  after tax</t>
        </is>
      </c>
      <c r="B24" s="243" t="n"/>
      <c r="C24" s="744">
        <f>C20-C22+C23</f>
        <v/>
      </c>
      <c r="D24" s="745">
        <f>D20-D22-D23</f>
        <v/>
      </c>
      <c r="E24" s="744">
        <f>E20-E22-E23</f>
        <v/>
      </c>
      <c r="F24" s="745">
        <f>F20-F22-F23</f>
        <v/>
      </c>
      <c r="H24" s="655" t="n"/>
    </row>
    <row r="25">
      <c r="A25" s="242" t="inlineStr">
        <is>
          <t>Earning per equity share of face value of Rs. 10each</t>
        </is>
      </c>
      <c r="B25" s="243" t="n"/>
      <c r="C25" s="744" t="n"/>
      <c r="D25" s="745" t="n"/>
      <c r="E25" s="744" t="n"/>
      <c r="F25" s="745" t="n"/>
    </row>
    <row r="26">
      <c r="A26" s="242" t="inlineStr">
        <is>
          <t>Significant accounting policies</t>
        </is>
      </c>
      <c r="B26" s="243" t="n"/>
      <c r="C26" s="243" t="n"/>
      <c r="D26" s="745" t="n"/>
      <c r="E26" s="744" t="n"/>
      <c r="F26" s="745" t="n"/>
    </row>
    <row r="27">
      <c r="A27" s="256" t="inlineStr">
        <is>
          <t>Notes to Financial statements</t>
        </is>
      </c>
      <c r="B27" s="257" t="inlineStr">
        <is>
          <t>1 to 23</t>
        </is>
      </c>
      <c r="C27" s="257" t="n"/>
      <c r="D27" s="257" t="n"/>
      <c r="E27" s="257" t="n"/>
      <c r="F27" s="257" t="n"/>
    </row>
    <row r="28">
      <c r="A28" s="238" t="inlineStr">
        <is>
          <t>As per our report of even date</t>
        </is>
      </c>
      <c r="B28" s="258" t="n"/>
      <c r="C28" s="258" t="n"/>
      <c r="D28" s="259" t="n"/>
      <c r="E28" s="613" t="n"/>
      <c r="F28" s="613" t="n"/>
    </row>
    <row r="29">
      <c r="A29" s="242">
        <f>BS!A32</f>
        <v/>
      </c>
      <c r="B29" s="613" t="n"/>
      <c r="C29" s="613" t="n"/>
      <c r="D29" s="260" t="n"/>
      <c r="E29" s="613" t="n"/>
      <c r="F29" s="613" t="n"/>
    </row>
    <row r="30">
      <c r="A30" s="242" t="inlineStr">
        <is>
          <t>Chartered Accountants</t>
        </is>
      </c>
      <c r="B30" s="613" t="n"/>
      <c r="C30" s="613" t="n"/>
      <c r="D30" s="260" t="n"/>
      <c r="E30" s="613" t="n"/>
      <c r="F30" s="613" t="n"/>
    </row>
    <row r="31">
      <c r="A31" s="242" t="inlineStr">
        <is>
          <t>( Firm regn. No. 000383S)</t>
        </is>
      </c>
      <c r="B31" s="613" t="n"/>
      <c r="C31" s="613" t="n"/>
      <c r="D31" s="261" t="inlineStr">
        <is>
          <t>Director</t>
        </is>
      </c>
      <c r="F31" s="613" t="n"/>
    </row>
    <row r="32">
      <c r="A32" s="242" t="n"/>
      <c r="B32" s="613" t="n"/>
      <c r="C32" s="613" t="n"/>
      <c r="D32" s="261" t="inlineStr">
        <is>
          <t>G Krishna</t>
        </is>
      </c>
      <c r="F32" s="613" t="n"/>
    </row>
    <row r="33">
      <c r="A33" s="242" t="n"/>
      <c r="B33" s="613" t="n"/>
      <c r="C33" s="613" t="n"/>
      <c r="D33" s="261" t="inlineStr">
        <is>
          <t>DIN: 03336421</t>
        </is>
      </c>
      <c r="F33" s="613" t="n"/>
    </row>
    <row r="34">
      <c r="A34" s="242" t="inlineStr">
        <is>
          <t>Om Prakash Bang</t>
        </is>
      </c>
      <c r="B34" s="613" t="n"/>
      <c r="C34" s="613" t="n"/>
      <c r="D34" s="58" t="n"/>
      <c r="F34" t="inlineStr">
        <is>
          <t>Director</t>
        </is>
      </c>
    </row>
    <row r="35">
      <c r="A35" s="242" t="inlineStr">
        <is>
          <t>Partner</t>
        </is>
      </c>
      <c r="B35" s="613" t="n"/>
      <c r="C35" s="613" t="n"/>
      <c r="D35" s="58" t="n"/>
      <c r="F35" s="613" t="n"/>
    </row>
    <row r="36">
      <c r="A36" s="242" t="inlineStr">
        <is>
          <t>Membership No. 018948</t>
        </is>
      </c>
      <c r="B36" s="613" t="n"/>
      <c r="C36" s="613" t="n"/>
      <c r="D36" s="261" t="n"/>
      <c r="F36" s="613" t="n"/>
    </row>
    <row r="37">
      <c r="A37" s="242" t="inlineStr">
        <is>
          <t>Place: Hyderabad</t>
        </is>
      </c>
      <c r="B37" s="613" t="n"/>
      <c r="C37" s="613" t="n"/>
      <c r="D37" s="261" t="inlineStr">
        <is>
          <t>Director</t>
        </is>
      </c>
      <c r="F37" s="613" t="n"/>
    </row>
    <row r="38">
      <c r="A38" s="242">
        <f>BS!A41</f>
        <v/>
      </c>
      <c r="B38" s="613" t="n"/>
      <c r="C38" s="613" t="n"/>
      <c r="D38" s="261" t="inlineStr">
        <is>
          <t>G Krupan</t>
        </is>
      </c>
      <c r="F38" s="613" t="n"/>
    </row>
    <row r="39">
      <c r="A39" s="242" t="n"/>
      <c r="B39" s="613" t="n"/>
      <c r="C39" s="613" t="n"/>
      <c r="D39" s="261" t="inlineStr">
        <is>
          <t>DIN : 03363685</t>
        </is>
      </c>
      <c r="F39" s="613" t="n"/>
    </row>
    <row r="40">
      <c r="A40" s="256" t="n"/>
      <c r="B40" s="262" t="n"/>
      <c r="C40" s="262" t="n"/>
      <c r="D40" s="263" t="n"/>
      <c r="F40" s="613" t="n"/>
    </row>
    <row r="41">
      <c r="B41" s="613" t="n"/>
      <c r="C41" s="613" t="n"/>
      <c r="D41" s="613" t="n"/>
      <c r="E41" s="613" t="n"/>
      <c r="F41" s="613" t="n"/>
    </row>
    <row r="42">
      <c r="B42" s="613" t="n"/>
      <c r="C42" s="613" t="n"/>
      <c r="D42" s="613" t="n"/>
      <c r="E42" s="613" t="n"/>
      <c r="F42" s="613" t="n"/>
    </row>
    <row r="43">
      <c r="B43" s="613" t="n"/>
      <c r="C43" s="613" t="n"/>
      <c r="D43" s="613" t="n"/>
      <c r="E43" s="613" t="n"/>
      <c r="F43" s="613" t="n"/>
    </row>
  </sheetData>
  <mergeCells count="3">
    <mergeCell ref="A3:F3"/>
    <mergeCell ref="A2:F2"/>
    <mergeCell ref="A1:F1"/>
  </mergeCells>
  <pageMargins left="0.7" right="0.7" top="0.75" bottom="0.75" header="0.3" footer="0.3"/>
  <pageSetup orientation="portrait" paperSize="9" scale="95"/>
  <colBreaks count="1" manualBreakCount="1">
    <brk id="4" min="0" max="1048575" man="1"/>
  </col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B2" workbookViewId="0">
      <selection activeCell="B31" sqref="B31"/>
    </sheetView>
  </sheetViews>
  <sheetFormatPr baseColWidth="8" defaultColWidth="9" defaultRowHeight="14.5"/>
  <cols>
    <col width="3.36328125" customWidth="1" min="1" max="1"/>
    <col width="67.08984375" customWidth="1" min="2" max="2"/>
    <col width="12.36328125" customWidth="1" min="3" max="3"/>
    <col width="11.90625" customWidth="1" min="4" max="4"/>
    <col width="9.81640625" customWidth="1" min="5" max="5"/>
    <col width="9.6328125" customWidth="1" min="6" max="6"/>
    <col width="5.08984375" customWidth="1" min="7" max="7"/>
    <col width="10.08984375" customWidth="1" min="8" max="8"/>
    <col width="7.36328125" customWidth="1" min="9" max="9"/>
    <col width="12.453125" customWidth="1" min="10" max="10"/>
    <col width="9" customWidth="1" min="12" max="12"/>
    <col width="10.08984375" customWidth="1" min="13" max="13"/>
  </cols>
  <sheetData>
    <row r="1"/>
    <row r="2">
      <c r="A2" s="149" t="n"/>
      <c r="B2" s="149" t="inlineStr">
        <is>
          <t>Attachment I</t>
        </is>
      </c>
      <c r="C2" s="149" t="n"/>
      <c r="D2" s="149" t="n"/>
      <c r="E2" s="149" t="n"/>
      <c r="F2" s="149" t="n"/>
      <c r="G2" s="149" t="n"/>
      <c r="H2" s="149" t="n"/>
      <c r="I2" s="149" t="n"/>
      <c r="J2" s="149" t="n"/>
      <c r="K2" s="149" t="n"/>
      <c r="L2" s="149" t="n"/>
      <c r="M2" s="149" t="n"/>
    </row>
    <row r="3">
      <c r="A3" s="614" t="inlineStr">
        <is>
          <t>M/S. RAMSON AND GRANDSON JEWELLERS (P) lTD</t>
        </is>
      </c>
      <c r="L3" s="149" t="n"/>
      <c r="M3" s="149" t="n"/>
    </row>
    <row r="4">
      <c r="A4" s="151" t="n"/>
      <c r="B4" s="772" t="inlineStr">
        <is>
          <t xml:space="preserve">            Particulars             </t>
        </is>
      </c>
      <c r="C4" s="152" t="n"/>
      <c r="D4" s="153" t="n"/>
      <c r="E4" s="615" t="inlineStr">
        <is>
          <t xml:space="preserve">ADDITION </t>
        </is>
      </c>
      <c r="F4" s="135" t="n"/>
      <c r="G4" s="135" t="n"/>
      <c r="H4" s="154" t="n"/>
      <c r="I4" s="617" t="inlineStr">
        <is>
          <t>DEPRECIATION</t>
        </is>
      </c>
      <c r="J4" s="135" t="n"/>
      <c r="K4" s="135" t="n"/>
      <c r="L4" s="511" t="n"/>
      <c r="M4" s="204" t="n"/>
    </row>
    <row r="5">
      <c r="A5" s="155" t="inlineStr">
        <is>
          <t>Sl.</t>
        </is>
      </c>
      <c r="B5" s="242" t="n"/>
      <c r="C5" s="157" t="inlineStr">
        <is>
          <t>Date when</t>
        </is>
      </c>
      <c r="D5" s="149" t="inlineStr">
        <is>
          <t>W.D.V.as on</t>
        </is>
      </c>
      <c r="E5" s="152" t="inlineStr">
        <is>
          <t xml:space="preserve">UPTO </t>
        </is>
      </c>
      <c r="F5" s="614" t="inlineStr">
        <is>
          <t>AFTER</t>
        </is>
      </c>
      <c r="G5" s="151" t="inlineStr">
        <is>
          <t>SALE</t>
        </is>
      </c>
      <c r="H5" s="157" t="inlineStr">
        <is>
          <t>TOTAL</t>
        </is>
      </c>
      <c r="I5" s="205" t="inlineStr">
        <is>
          <t>Rate of</t>
        </is>
      </c>
      <c r="J5" s="152" t="inlineStr">
        <is>
          <t>100% on.</t>
        </is>
      </c>
      <c r="K5" s="152" t="inlineStr">
        <is>
          <t>50% on.</t>
        </is>
      </c>
      <c r="L5" s="152" t="inlineStr">
        <is>
          <t>Total</t>
        </is>
      </c>
      <c r="M5" s="595" t="inlineStr">
        <is>
          <t>W.D.V.</t>
        </is>
      </c>
    </row>
    <row r="6">
      <c r="A6" s="155" t="inlineStr">
        <is>
          <t>no</t>
        </is>
      </c>
      <c r="B6" s="242" t="n"/>
      <c r="C6" s="157" t="inlineStr">
        <is>
          <t>Put to use</t>
        </is>
      </c>
      <c r="D6" s="614" t="inlineStr">
        <is>
          <t>1.4.2020</t>
        </is>
      </c>
      <c r="E6" s="157" t="inlineStr">
        <is>
          <t>30.9.2020</t>
        </is>
      </c>
      <c r="F6" s="614" t="inlineStr">
        <is>
          <t>30.9.2020</t>
        </is>
      </c>
      <c r="G6" s="157" t="n"/>
      <c r="H6" s="157" t="inlineStr">
        <is>
          <t>31.03.2021</t>
        </is>
      </c>
      <c r="I6" s="205" t="inlineStr">
        <is>
          <t>dep.</t>
        </is>
      </c>
      <c r="J6" s="157" t="inlineStr">
        <is>
          <t>op.bal.&amp; add</t>
        </is>
      </c>
      <c r="K6" s="157" t="inlineStr">
        <is>
          <t>add.after</t>
        </is>
      </c>
      <c r="L6" s="157" t="n"/>
      <c r="M6" s="205" t="inlineStr">
        <is>
          <t>as on</t>
        </is>
      </c>
    </row>
    <row r="7">
      <c r="A7" s="158" t="n"/>
      <c r="B7" s="256" t="n"/>
      <c r="C7" s="159" t="n"/>
      <c r="D7" s="160" t="n"/>
      <c r="E7" s="157" t="n"/>
      <c r="F7" s="614" t="n"/>
      <c r="G7" s="157" t="n"/>
      <c r="H7" s="157" t="n"/>
      <c r="I7" s="205" t="n"/>
      <c r="J7" s="157" t="inlineStr">
        <is>
          <t>upto 30.9.20</t>
        </is>
      </c>
      <c r="K7" s="157" t="inlineStr">
        <is>
          <t>30.9.20</t>
        </is>
      </c>
      <c r="L7" s="157" t="n"/>
      <c r="M7" s="205" t="inlineStr">
        <is>
          <t>31.03.2021</t>
        </is>
      </c>
    </row>
    <row r="8">
      <c r="A8" s="155" t="n"/>
      <c r="B8" s="619" t="n"/>
      <c r="C8" s="157" t="n"/>
      <c r="D8" s="614" t="n"/>
      <c r="E8" s="161" t="n"/>
      <c r="F8" s="152" t="n"/>
      <c r="G8" s="594" t="n"/>
      <c r="H8" s="152" t="n"/>
      <c r="I8" s="152" t="n"/>
      <c r="J8" s="152" t="n"/>
      <c r="K8" s="152" t="n"/>
      <c r="L8" s="152" t="n"/>
      <c r="M8" s="207" t="n"/>
    </row>
    <row r="9">
      <c r="A9" s="163" t="n"/>
      <c r="B9" s="73" t="inlineStr">
        <is>
          <t>Computer</t>
        </is>
      </c>
      <c r="C9" s="164" t="n"/>
      <c r="D9" s="655" t="n"/>
      <c r="E9" s="165" t="n"/>
      <c r="F9" s="165" t="n"/>
      <c r="G9" s="166" t="n"/>
      <c r="H9" s="773">
        <f>D9+E9+F9-G9</f>
        <v/>
      </c>
      <c r="I9" s="208" t="n"/>
      <c r="J9" s="774">
        <f>D9*I9</f>
        <v/>
      </c>
      <c r="K9" s="157" t="n"/>
      <c r="L9" s="775">
        <f>J9+K9</f>
        <v/>
      </c>
      <c r="M9" s="211">
        <f>H9-L9</f>
        <v/>
      </c>
    </row>
    <row r="10">
      <c r="A10" s="163" t="n"/>
      <c r="B10" s="73" t="inlineStr">
        <is>
          <t>Computer software(Tally)</t>
        </is>
      </c>
      <c r="C10" s="168" t="n"/>
      <c r="D10" s="655" t="n"/>
      <c r="E10" s="169" t="n"/>
      <c r="F10" s="169" t="n"/>
      <c r="G10" s="170" t="n"/>
      <c r="H10" s="776">
        <f>D10+F10</f>
        <v/>
      </c>
      <c r="I10" s="212" t="n"/>
      <c r="J10" s="777">
        <f>D10*I10</f>
        <v/>
      </c>
      <c r="K10" s="214">
        <f>F10*I10/2</f>
        <v/>
      </c>
      <c r="L10" s="778">
        <f>J10+K10</f>
        <v/>
      </c>
      <c r="M10" s="216">
        <f>H10-L10</f>
        <v/>
      </c>
    </row>
    <row r="11">
      <c r="A11" s="163" t="n"/>
      <c r="B11" s="172" t="n"/>
      <c r="C11" s="173" t="n"/>
      <c r="D11" s="658" t="n"/>
      <c r="E11" s="175">
        <f>E10</f>
        <v/>
      </c>
      <c r="F11" s="176">
        <f>SUM(F9:F10)</f>
        <v/>
      </c>
      <c r="G11" s="175" t="n"/>
      <c r="H11" s="779">
        <f>SUM(H9:H10)</f>
        <v/>
      </c>
      <c r="I11" s="217" t="n"/>
      <c r="J11" s="778">
        <f>D11*I11</f>
        <v/>
      </c>
      <c r="K11" s="218">
        <f>SUM(K9:K10)</f>
        <v/>
      </c>
      <c r="L11" s="775">
        <f>J11+K11</f>
        <v/>
      </c>
      <c r="M11" s="211">
        <f>H11-L11</f>
        <v/>
      </c>
    </row>
    <row r="12">
      <c r="A12" s="163" t="n"/>
      <c r="B12" s="73" t="n"/>
      <c r="C12" s="164" t="n"/>
      <c r="D12" s="655" t="n"/>
      <c r="E12" s="165" t="n"/>
      <c r="F12" s="178" t="n"/>
      <c r="G12" s="166" t="n"/>
      <c r="H12" s="780" t="n"/>
      <c r="I12" s="219" t="n"/>
      <c r="J12" s="165" t="n"/>
      <c r="K12" s="220" t="n"/>
      <c r="L12" s="781" t="n"/>
      <c r="M12" s="222" t="n"/>
    </row>
    <row r="13">
      <c r="A13" s="163" t="n"/>
      <c r="B13" s="73" t="inlineStr">
        <is>
          <t>LED</t>
        </is>
      </c>
      <c r="C13" s="164" t="n"/>
      <c r="D13" s="655" t="n"/>
      <c r="E13" s="165" t="n"/>
      <c r="F13" s="178" t="n"/>
      <c r="G13" s="166" t="n"/>
      <c r="H13" s="773">
        <f>D13+E13+F13</f>
        <v/>
      </c>
      <c r="I13" s="219" t="n"/>
      <c r="J13" s="165">
        <f>(D13+E13)*I13</f>
        <v/>
      </c>
      <c r="K13" s="220" t="n"/>
      <c r="L13" s="775">
        <f>J13+K13</f>
        <v/>
      </c>
      <c r="M13" s="211">
        <f>H13-L13</f>
        <v/>
      </c>
      <c r="O13" s="647" t="n"/>
    </row>
    <row r="14">
      <c r="A14" s="163" t="n"/>
      <c r="B14" s="73" t="inlineStr">
        <is>
          <t>Inverter</t>
        </is>
      </c>
      <c r="C14" s="164" t="n"/>
      <c r="D14" s="655" t="n"/>
      <c r="E14" s="165" t="n"/>
      <c r="F14" s="178" t="n"/>
      <c r="G14" s="166" t="n"/>
      <c r="H14" s="773">
        <f>D14+E14+F14</f>
        <v/>
      </c>
      <c r="I14" s="219" t="n"/>
      <c r="J14" s="165">
        <f>(D14+E14)*I14</f>
        <v/>
      </c>
      <c r="K14" s="220" t="n"/>
      <c r="L14" s="775">
        <f>J14+K14</f>
        <v/>
      </c>
      <c r="M14" s="211">
        <f>H14-L14</f>
        <v/>
      </c>
      <c r="O14" s="647" t="n"/>
    </row>
    <row r="15">
      <c r="A15" s="163" t="n"/>
      <c r="B15" s="73" t="inlineStr">
        <is>
          <t>Buffing &amp; Drilling Machine</t>
        </is>
      </c>
      <c r="C15" s="168" t="n"/>
      <c r="D15" s="655" t="n"/>
      <c r="E15" s="165" t="n"/>
      <c r="F15" s="178" t="n"/>
      <c r="G15" s="166" t="n"/>
      <c r="H15" s="773">
        <f>D15+E15+F15</f>
        <v/>
      </c>
      <c r="I15" s="219" t="n"/>
      <c r="J15" s="165">
        <f>(D15+E15)*I15</f>
        <v/>
      </c>
      <c r="K15" s="782" t="n"/>
      <c r="L15" s="775">
        <f>J15+K15</f>
        <v/>
      </c>
      <c r="M15" s="211">
        <f>H15-L15</f>
        <v/>
      </c>
      <c r="O15" s="647" t="n"/>
    </row>
    <row r="16">
      <c r="A16" s="163" t="n"/>
      <c r="B16" s="73" t="inlineStr">
        <is>
          <t>Melting Machine</t>
        </is>
      </c>
      <c r="C16" s="168" t="n"/>
      <c r="D16" s="655" t="n"/>
      <c r="E16" s="165" t="n"/>
      <c r="F16" s="178" t="n"/>
      <c r="G16" s="166" t="n"/>
      <c r="H16" s="773">
        <f>D16+E16+F16</f>
        <v/>
      </c>
      <c r="I16" s="219" t="n"/>
      <c r="J16" s="165">
        <f>(D16+E16)*I16</f>
        <v/>
      </c>
      <c r="K16" s="782" t="n"/>
      <c r="L16" s="775">
        <f>J16+K16</f>
        <v/>
      </c>
      <c r="M16" s="211">
        <f>H16-L16</f>
        <v/>
      </c>
      <c r="O16" s="647" t="n"/>
    </row>
    <row r="17">
      <c r="A17" s="163" t="n"/>
      <c r="B17" s="73" t="inlineStr">
        <is>
          <t>Wire Drawing Machine</t>
        </is>
      </c>
      <c r="C17" s="168" t="n"/>
      <c r="D17" s="655" t="n"/>
      <c r="E17" s="165" t="n"/>
      <c r="F17" s="180" t="n"/>
      <c r="G17" s="166" t="n"/>
      <c r="H17" s="773">
        <f>D17+E17+F17</f>
        <v/>
      </c>
      <c r="I17" s="219" t="n"/>
      <c r="J17" s="165">
        <f>(D17+E17)*I17</f>
        <v/>
      </c>
      <c r="K17" s="782" t="n"/>
      <c r="L17" s="775">
        <f>J17+K17</f>
        <v/>
      </c>
      <c r="M17" s="211">
        <f>H17-L17</f>
        <v/>
      </c>
      <c r="O17" s="647" t="n"/>
    </row>
    <row r="18">
      <c r="A18" s="163" t="n"/>
      <c r="B18" s="73" t="inlineStr">
        <is>
          <t>Air Conditioner</t>
        </is>
      </c>
      <c r="C18" s="164" t="n"/>
      <c r="D18" s="655" t="n"/>
      <c r="E18" s="165" t="n"/>
      <c r="F18" s="178" t="n"/>
      <c r="G18" s="166" t="n"/>
      <c r="H18" s="773">
        <f>D18+E18+F18</f>
        <v/>
      </c>
      <c r="I18" s="219" t="n"/>
      <c r="J18" s="165">
        <f>(D18+E18)*I18</f>
        <v/>
      </c>
      <c r="K18" s="782" t="n"/>
      <c r="L18" s="775">
        <f>J18+K18</f>
        <v/>
      </c>
      <c r="M18" s="211">
        <f>H18-L18</f>
        <v/>
      </c>
      <c r="O18" s="647" t="n"/>
    </row>
    <row r="19">
      <c r="A19" s="163" t="n"/>
      <c r="B19" s="73" t="inlineStr">
        <is>
          <t>Cars</t>
        </is>
      </c>
      <c r="C19" s="164" t="n"/>
      <c r="D19" s="655" t="n"/>
      <c r="E19" s="165" t="n"/>
      <c r="F19" s="178" t="n"/>
      <c r="G19" s="166" t="n"/>
      <c r="H19" s="773">
        <f>D19+E19+F19</f>
        <v/>
      </c>
      <c r="I19" s="219" t="n"/>
      <c r="J19" s="165">
        <f>(D19+E19)*I19</f>
        <v/>
      </c>
      <c r="K19" s="782" t="n"/>
      <c r="L19" s="775">
        <f>J19+K19</f>
        <v/>
      </c>
      <c r="M19" s="211">
        <f>H19-L19</f>
        <v/>
      </c>
      <c r="O19" s="647" t="n"/>
    </row>
    <row r="20">
      <c r="A20" s="163" t="n"/>
      <c r="B20" s="73" t="inlineStr">
        <is>
          <t>Weighing Machine</t>
        </is>
      </c>
      <c r="C20" s="164" t="n"/>
      <c r="D20" s="655" t="n"/>
      <c r="E20" s="50" t="n"/>
      <c r="F20" s="180" t="n"/>
      <c r="G20" s="166" t="n"/>
      <c r="H20" s="773">
        <f>D20+E20+F20</f>
        <v/>
      </c>
      <c r="I20" s="219" t="n"/>
      <c r="J20" s="165">
        <f>(D20+E20)*I20</f>
        <v/>
      </c>
      <c r="K20" s="782" t="n"/>
      <c r="L20" s="775">
        <f>J20+K20</f>
        <v/>
      </c>
      <c r="M20" s="211">
        <f>H20-L20</f>
        <v/>
      </c>
      <c r="O20" s="647" t="n"/>
    </row>
    <row r="21">
      <c r="A21" s="163" t="n"/>
      <c r="B21" s="73" t="inlineStr">
        <is>
          <t>Counting Machine</t>
        </is>
      </c>
      <c r="C21" s="164" t="n"/>
      <c r="D21" s="655" t="n"/>
      <c r="E21" s="165" t="n"/>
      <c r="F21" s="178" t="n"/>
      <c r="G21" s="166" t="n"/>
      <c r="H21" s="773">
        <f>D21+E21+F21</f>
        <v/>
      </c>
      <c r="I21" s="219" t="n"/>
      <c r="J21" s="165">
        <f>(D21+E21)*I21</f>
        <v/>
      </c>
      <c r="K21" s="782" t="n"/>
      <c r="L21" s="775">
        <f>J21+K21</f>
        <v/>
      </c>
      <c r="M21" s="211">
        <f>H21-L21</f>
        <v/>
      </c>
      <c r="O21" s="647" t="n"/>
    </row>
    <row r="22">
      <c r="A22" s="163" t="n"/>
      <c r="B22" s="73" t="inlineStr">
        <is>
          <t>Samsung Phone</t>
        </is>
      </c>
      <c r="C22" s="164" t="n"/>
      <c r="D22" s="655" t="n"/>
      <c r="E22" s="165" t="n"/>
      <c r="F22" s="178" t="n"/>
      <c r="G22" s="166" t="n"/>
      <c r="H22" s="773">
        <f>D22+E22+F22</f>
        <v/>
      </c>
      <c r="I22" s="219" t="n"/>
      <c r="J22" s="165">
        <f>(D22+E22)*I22</f>
        <v/>
      </c>
      <c r="K22" s="782" t="n"/>
      <c r="L22" s="775">
        <f>J22+K22</f>
        <v/>
      </c>
      <c r="M22" s="211">
        <f>H22-L22</f>
        <v/>
      </c>
      <c r="O22" s="647" t="n"/>
    </row>
    <row r="23">
      <c r="A23" s="163" t="n"/>
      <c r="B23" s="73" t="inlineStr">
        <is>
          <t>Refrigerator</t>
        </is>
      </c>
      <c r="C23" s="164" t="n"/>
      <c r="D23" s="655" t="n"/>
      <c r="E23" s="165" t="n"/>
      <c r="F23" s="178" t="n"/>
      <c r="G23" s="166" t="n"/>
      <c r="H23" s="773">
        <f>D23+E23+F23</f>
        <v/>
      </c>
      <c r="I23" s="219" t="n"/>
      <c r="J23" s="165">
        <f>(D23+E23)*I23</f>
        <v/>
      </c>
      <c r="K23" s="782" t="n"/>
      <c r="L23" s="775">
        <f>J23+K23</f>
        <v/>
      </c>
      <c r="M23" s="211">
        <f>H23-L23</f>
        <v/>
      </c>
      <c r="O23" s="647" t="n"/>
    </row>
    <row r="24">
      <c r="A24" s="163" t="n"/>
      <c r="B24" s="73" t="inlineStr">
        <is>
          <t>Printer (HP 120)</t>
        </is>
      </c>
      <c r="C24" s="164" t="n"/>
      <c r="D24" s="655" t="n"/>
      <c r="E24" s="165" t="n"/>
      <c r="F24" s="178" t="n"/>
      <c r="G24" s="166" t="n"/>
      <c r="H24" s="773">
        <f>D24+E24+F24</f>
        <v/>
      </c>
      <c r="I24" s="219" t="n"/>
      <c r="J24" s="165">
        <f>(D24+E24)*I24</f>
        <v/>
      </c>
      <c r="K24" s="783" t="n"/>
      <c r="L24" s="775">
        <f>J24+K24</f>
        <v/>
      </c>
      <c r="M24" s="211">
        <f>H24-L24</f>
        <v/>
      </c>
      <c r="O24" s="647" t="n"/>
    </row>
    <row r="25">
      <c r="A25" s="163" t="n"/>
      <c r="B25" s="73" t="inlineStr">
        <is>
          <t>Water Dispenser</t>
        </is>
      </c>
      <c r="C25" s="168" t="n"/>
      <c r="D25" s="655" t="n"/>
      <c r="E25" s="165" t="n"/>
      <c r="F25" s="178" t="n"/>
      <c r="G25" s="166" t="n"/>
      <c r="H25" s="773">
        <f>D25+E25+F25</f>
        <v/>
      </c>
      <c r="I25" s="219" t="n"/>
      <c r="J25" s="165">
        <f>(D25+E25)*I25</f>
        <v/>
      </c>
      <c r="K25" s="782" t="n"/>
      <c r="L25" s="775">
        <f>J25+K25</f>
        <v/>
      </c>
      <c r="M25" s="211">
        <f>H25-L25</f>
        <v/>
      </c>
      <c r="O25" s="647" t="n"/>
    </row>
    <row r="26">
      <c r="A26" s="163" t="n"/>
      <c r="B26" s="73" t="inlineStr">
        <is>
          <t>Camera</t>
        </is>
      </c>
      <c r="C26" s="168" t="n"/>
      <c r="D26" s="655" t="n"/>
      <c r="E26" s="165" t="n"/>
      <c r="F26" s="178" t="n"/>
      <c r="G26" s="166" t="n"/>
      <c r="H26" s="773">
        <f>D26+E26+F26</f>
        <v/>
      </c>
      <c r="I26" s="219" t="n"/>
      <c r="J26" s="165">
        <f>(D26+E26)*15%</f>
        <v/>
      </c>
      <c r="K26" s="782">
        <f>F26*I26/2</f>
        <v/>
      </c>
      <c r="L26" s="775">
        <f>J26+K26</f>
        <v/>
      </c>
      <c r="M26" s="211">
        <f>H26-L26</f>
        <v/>
      </c>
      <c r="O26" s="647" t="n"/>
    </row>
    <row r="27">
      <c r="A27" s="163" t="n"/>
      <c r="B27" s="73" t="inlineStr">
        <is>
          <t>Coffee Machine</t>
        </is>
      </c>
      <c r="C27" s="168" t="n"/>
      <c r="D27" s="655" t="n"/>
      <c r="E27" s="165" t="n"/>
      <c r="F27" s="178" t="n"/>
      <c r="G27" s="166" t="n"/>
      <c r="H27" s="773">
        <f>D27+E27+F27</f>
        <v/>
      </c>
      <c r="I27" s="219" t="n"/>
      <c r="J27" s="165">
        <f>(D27+E27)*I27</f>
        <v/>
      </c>
      <c r="K27" s="782" t="n"/>
      <c r="L27" s="775">
        <f>J27+K27</f>
        <v/>
      </c>
      <c r="M27" s="211">
        <f>H27-L27</f>
        <v/>
      </c>
      <c r="O27" s="647" t="n"/>
    </row>
    <row r="28">
      <c r="A28" s="163" t="n"/>
      <c r="B28" s="73" t="inlineStr">
        <is>
          <t>EPABX (Telephone)</t>
        </is>
      </c>
      <c r="C28" s="168" t="n"/>
      <c r="D28" s="655" t="n"/>
      <c r="E28" s="165" t="n"/>
      <c r="F28" s="178" t="n"/>
      <c r="G28" s="166" t="n"/>
      <c r="H28" s="773">
        <f>D28+E28+F28</f>
        <v/>
      </c>
      <c r="I28" s="219" t="n"/>
      <c r="J28" s="165">
        <f>(D28+E28)*I28</f>
        <v/>
      </c>
      <c r="K28" s="782" t="n"/>
      <c r="L28" s="775">
        <f>J28+K28</f>
        <v/>
      </c>
      <c r="M28" s="211">
        <f>H28-L28</f>
        <v/>
      </c>
      <c r="O28" s="647" t="n"/>
    </row>
    <row r="29">
      <c r="A29" s="163" t="n"/>
      <c r="B29" s="73" t="inlineStr">
        <is>
          <t>Television</t>
        </is>
      </c>
      <c r="C29" s="168" t="n"/>
      <c r="D29" s="655" t="n"/>
      <c r="E29" s="165" t="n"/>
      <c r="F29" s="178" t="n"/>
      <c r="G29" s="166" t="n"/>
      <c r="H29" s="773">
        <f>D29+E29+F29</f>
        <v/>
      </c>
      <c r="I29" s="219" t="n"/>
      <c r="J29" s="165">
        <f>(D29+E29)*I29</f>
        <v/>
      </c>
      <c r="K29" s="782" t="n"/>
      <c r="L29" s="775">
        <f>J29+K29</f>
        <v/>
      </c>
      <c r="M29" s="211">
        <f>H29-L29</f>
        <v/>
      </c>
      <c r="O29" s="647" t="n"/>
    </row>
    <row r="30">
      <c r="A30" s="163" t="n"/>
      <c r="B30" s="73" t="inlineStr">
        <is>
          <t>Cell Phone</t>
        </is>
      </c>
      <c r="C30" s="168" t="n"/>
      <c r="D30" s="655" t="n"/>
      <c r="E30" s="165" t="n"/>
      <c r="F30" s="178" t="n"/>
      <c r="G30" s="166" t="n"/>
      <c r="H30" s="773">
        <f>D30+E30+F30</f>
        <v/>
      </c>
      <c r="I30" s="219" t="n"/>
      <c r="J30" s="165">
        <f>(D30+E30)*I30</f>
        <v/>
      </c>
      <c r="K30" s="784">
        <f>F30*I30/2</f>
        <v/>
      </c>
      <c r="L30" s="775">
        <f>J30+K30</f>
        <v/>
      </c>
      <c r="M30" s="216">
        <f>H30-L30</f>
        <v/>
      </c>
      <c r="O30" s="647" t="n"/>
    </row>
    <row r="31">
      <c r="A31" s="163" t="n"/>
      <c r="B31" s="73" t="inlineStr">
        <is>
          <t>UV Disinfection Machine</t>
        </is>
      </c>
      <c r="C31" s="168" t="n"/>
      <c r="D31" s="655" t="n"/>
      <c r="E31" s="165" t="n"/>
      <c r="F31" s="178" t="n"/>
      <c r="G31" s="166" t="n"/>
      <c r="H31" s="773">
        <f>D31+E31+F31</f>
        <v/>
      </c>
      <c r="I31" s="219" t="n"/>
      <c r="J31" s="165">
        <f>(D31+E31)*I31</f>
        <v/>
      </c>
      <c r="K31" s="784" t="n"/>
      <c r="L31" s="775">
        <f>J31+K31</f>
        <v/>
      </c>
      <c r="M31" s="211">
        <f>H31-J31</f>
        <v/>
      </c>
      <c r="O31" s="647" t="n"/>
    </row>
    <row r="32">
      <c r="A32" s="163" t="n"/>
      <c r="B32" s="172" t="n"/>
      <c r="C32" s="157" t="n"/>
      <c r="D32" s="658" t="n"/>
      <c r="E32" s="175">
        <f>SUM(E13:E31)</f>
        <v/>
      </c>
      <c r="F32" s="181">
        <f>SUM(F13:F31)</f>
        <v/>
      </c>
      <c r="G32" s="176" t="n"/>
      <c r="H32" s="785">
        <f>SUM(H13:H31)</f>
        <v/>
      </c>
      <c r="I32" s="226" t="n"/>
      <c r="J32" s="786">
        <f>SUM(J13:J31)</f>
        <v/>
      </c>
      <c r="K32" s="787">
        <f>SUM(K15:K30)</f>
        <v/>
      </c>
      <c r="L32" s="778">
        <f>SUM(L13:L31)</f>
        <v/>
      </c>
      <c r="M32" s="211">
        <f>H32-L32</f>
        <v/>
      </c>
    </row>
    <row r="33">
      <c r="A33" s="163" t="n"/>
      <c r="B33" s="73" t="n"/>
      <c r="C33" s="164" t="n"/>
      <c r="D33" s="655" t="n"/>
      <c r="E33" s="165" t="n"/>
      <c r="F33" s="178" t="n"/>
      <c r="G33" s="166" t="n"/>
      <c r="H33" s="788" t="n"/>
      <c r="I33" s="178" t="n"/>
      <c r="J33" s="165" t="n"/>
      <c r="K33" s="229" t="n"/>
      <c r="L33" s="778" t="n"/>
      <c r="M33" s="222" t="n"/>
    </row>
    <row r="34">
      <c r="A34" s="163" t="n"/>
      <c r="B34" s="172" t="inlineStr">
        <is>
          <t>Furniture</t>
        </is>
      </c>
      <c r="C34" s="157" t="n"/>
      <c r="D34" s="658" t="n"/>
      <c r="E34" s="175" t="n"/>
      <c r="F34" s="181" t="n"/>
      <c r="G34" s="175" t="n"/>
      <c r="H34" s="785">
        <f>D34+E34+F34</f>
        <v/>
      </c>
      <c r="I34" s="230" t="n"/>
      <c r="J34" s="175">
        <f>(D34+E34)*I34</f>
        <v/>
      </c>
      <c r="K34" s="229">
        <f>F34*5%</f>
        <v/>
      </c>
      <c r="L34" s="778">
        <f>J34+K34</f>
        <v/>
      </c>
      <c r="M34" s="222">
        <f>H34-L34</f>
        <v/>
      </c>
    </row>
    <row r="35">
      <c r="A35" s="184" t="n"/>
      <c r="B35" s="185" t="inlineStr">
        <is>
          <t>Total</t>
        </is>
      </c>
      <c r="C35" s="159" t="n"/>
      <c r="D35" s="658">
        <f>D11+D32+D34</f>
        <v/>
      </c>
      <c r="E35" s="658">
        <f>E11+E32+E34</f>
        <v/>
      </c>
      <c r="F35" s="658">
        <f>F11+F32+F34</f>
        <v/>
      </c>
      <c r="G35" s="658">
        <f>G11+G32+G34</f>
        <v/>
      </c>
      <c r="H35" s="658">
        <f>H11+H32+H34</f>
        <v/>
      </c>
      <c r="I35" s="658" t="n"/>
      <c r="J35" s="658">
        <f>J11+J32+J34</f>
        <v/>
      </c>
      <c r="K35" s="658">
        <f>K11+K32+K34</f>
        <v/>
      </c>
      <c r="L35" s="658">
        <f>L11+L32+L34</f>
        <v/>
      </c>
      <c r="M35" s="658">
        <f>M11+M32+M34</f>
        <v/>
      </c>
    </row>
    <row r="36">
      <c r="A36" s="149" t="n"/>
      <c r="B36" s="149" t="n"/>
      <c r="C36" s="149" t="n"/>
      <c r="D36" s="149" t="n"/>
      <c r="E36" s="149" t="n"/>
      <c r="F36" s="186" t="n"/>
      <c r="G36" s="149" t="n"/>
      <c r="H36" s="149" t="n"/>
      <c r="I36" s="149" t="n"/>
      <c r="J36" s="149" t="n"/>
      <c r="K36" s="149" t="n"/>
      <c r="L36" s="149" t="n"/>
      <c r="M36" s="231" t="n"/>
    </row>
    <row r="37">
      <c r="A37" s="149" t="n"/>
      <c r="B37" s="149" t="n"/>
      <c r="C37" s="149" t="n"/>
      <c r="D37" s="149" t="n"/>
      <c r="E37" s="149" t="n"/>
      <c r="F37" s="186" t="n"/>
      <c r="G37" s="149" t="n"/>
      <c r="H37" s="149" t="n"/>
      <c r="I37" s="149" t="n"/>
      <c r="J37" s="149" t="n"/>
      <c r="K37" s="149" t="n"/>
      <c r="L37" s="149" t="n"/>
      <c r="M37" s="186" t="n"/>
    </row>
    <row r="38">
      <c r="A38" s="149" t="n"/>
      <c r="B38" s="149" t="n"/>
      <c r="C38" s="149" t="n"/>
      <c r="D38" s="149" t="n"/>
      <c r="E38" s="149" t="n"/>
      <c r="F38" s="186" t="n"/>
      <c r="G38" s="149" t="n"/>
      <c r="H38" s="149" t="n"/>
      <c r="I38" s="149" t="n"/>
      <c r="J38" s="149" t="n"/>
      <c r="K38" s="149" t="n"/>
      <c r="L38" s="149" t="n"/>
      <c r="M38" s="186" t="n"/>
    </row>
    <row r="39">
      <c r="A39" s="149" t="n"/>
      <c r="B39" s="149" t="n"/>
      <c r="C39" s="149" t="n"/>
      <c r="D39" s="149" t="n"/>
      <c r="E39" s="149" t="n"/>
      <c r="F39" s="186" t="n"/>
      <c r="G39" s="149" t="n"/>
      <c r="H39" s="149" t="n"/>
      <c r="I39" s="149" t="n"/>
      <c r="J39" t="inlineStr">
        <is>
          <t>Director</t>
        </is>
      </c>
      <c r="K39" s="149" t="n"/>
      <c r="L39" t="inlineStr">
        <is>
          <t>Director</t>
        </is>
      </c>
      <c r="M39" s="186" t="n"/>
    </row>
    <row r="40">
      <c r="A40" s="149" t="n"/>
      <c r="B40" s="149" t="n"/>
      <c r="C40" s="149" t="n"/>
      <c r="D40" s="149" t="n"/>
      <c r="E40" s="149" t="n"/>
      <c r="F40" s="186" t="n"/>
      <c r="G40" s="149" t="n"/>
      <c r="H40" s="149" t="n"/>
      <c r="I40" s="149" t="n"/>
      <c r="J40" s="149" t="n"/>
      <c r="K40" s="149" t="n"/>
      <c r="L40" s="149" t="n"/>
      <c r="M40" s="186" t="n"/>
    </row>
    <row r="41">
      <c r="A41" s="149" t="n"/>
      <c r="B41" s="149" t="n"/>
      <c r="C41" s="149" t="n"/>
      <c r="D41" s="186" t="n"/>
      <c r="E41" s="149" t="n"/>
      <c r="F41" s="186" t="n"/>
      <c r="G41" s="186" t="n"/>
      <c r="H41" s="186" t="n"/>
      <c r="I41" s="186" t="n"/>
      <c r="J41" s="186" t="n"/>
      <c r="K41" s="186" t="n"/>
      <c r="L41" s="186" t="n"/>
      <c r="M41" s="186" t="n"/>
    </row>
    <row r="42">
      <c r="B42" s="187" t="inlineStr">
        <is>
          <t>Calculation of Deferred Tax Assets/Liability as per Depreciation Method :</t>
        </is>
      </c>
      <c r="C42" s="188" t="n"/>
      <c r="D42" s="617" t="inlineStr">
        <is>
          <t>2022-23</t>
        </is>
      </c>
      <c r="F42" s="190" t="n"/>
      <c r="H42" s="190" t="n"/>
      <c r="I42" s="190" t="n"/>
    </row>
    <row r="43" ht="29" customHeight="1">
      <c r="B43" s="73" t="n"/>
      <c r="C43" s="789" t="n"/>
      <c r="D43" s="790" t="inlineStr">
        <is>
          <t>Amount.(Rs.)</t>
        </is>
      </c>
      <c r="J43" s="190" t="n"/>
    </row>
    <row r="44">
      <c r="B44" s="193" t="inlineStr">
        <is>
          <t>Depreciation as per IT Act as</t>
        </is>
      </c>
      <c r="C44" s="789" t="inlineStr">
        <is>
          <t>A</t>
        </is>
      </c>
      <c r="D44" s="791">
        <f>L32</f>
        <v/>
      </c>
    </row>
    <row r="45">
      <c r="B45" s="73" t="inlineStr">
        <is>
          <t>Depreciation as per Companies Act</t>
        </is>
      </c>
      <c r="C45" s="792" t="inlineStr">
        <is>
          <t>B</t>
        </is>
      </c>
      <c r="D45" s="793">
        <f>'Com Dep'!H13</f>
        <v/>
      </c>
    </row>
    <row r="46">
      <c r="B46" s="73" t="inlineStr">
        <is>
          <t>Timing Difference in Depreciation</t>
        </is>
      </c>
      <c r="C46" s="792" t="inlineStr">
        <is>
          <t>C( A-B)</t>
        </is>
      </c>
      <c r="D46" s="794">
        <f>D44-D45</f>
        <v/>
      </c>
    </row>
    <row r="47">
      <c r="B47" s="73" t="inlineStr">
        <is>
          <t>Deffered Tax LIABILITY(Current Year)</t>
        </is>
      </c>
      <c r="C47" s="792" t="inlineStr">
        <is>
          <t>D</t>
        </is>
      </c>
      <c r="D47" s="791">
        <f>D46*26%</f>
        <v/>
      </c>
    </row>
    <row r="48">
      <c r="B48" s="73" t="inlineStr">
        <is>
          <t>Deffered Tax Asset(Previous Year) (Net)</t>
        </is>
      </c>
      <c r="C48" s="792" t="inlineStr">
        <is>
          <t>E</t>
        </is>
      </c>
      <c r="D48" s="793" t="n"/>
    </row>
    <row r="49">
      <c r="B49" s="73" t="inlineStr">
        <is>
          <t>Deffered tax  liability B/F</t>
        </is>
      </c>
      <c r="C49" s="792" t="n"/>
      <c r="D49" s="793" t="n"/>
    </row>
    <row r="50">
      <c r="B50" s="73" t="inlineStr">
        <is>
          <t>Previous year adjustments</t>
        </is>
      </c>
      <c r="C50" s="792" t="n"/>
      <c r="D50" s="793" t="n"/>
    </row>
    <row r="51">
      <c r="B51" s="198" t="inlineStr">
        <is>
          <t>Deffered Tax (Balance Carried to Balance Sheet)</t>
        </is>
      </c>
      <c r="C51" s="795" t="inlineStr">
        <is>
          <t>F( D-E)</t>
        </is>
      </c>
      <c r="D51" s="796">
        <f>D48-D47</f>
        <v/>
      </c>
    </row>
    <row r="52"/>
    <row r="53"/>
    <row r="54"/>
    <row r="55">
      <c r="B55" t="inlineStr">
        <is>
          <t>Computation of income</t>
        </is>
      </c>
    </row>
    <row r="56">
      <c r="B56" t="inlineStr">
        <is>
          <t>Profit as per P &amp; L A/c</t>
        </is>
      </c>
      <c r="C56" s="655">
        <f>'P&amp;L'!D20</f>
        <v/>
      </c>
      <c r="H56" s="647">
        <f>'P&amp;L'!C20</f>
        <v/>
      </c>
    </row>
    <row r="57">
      <c r="B57" t="inlineStr">
        <is>
          <t>Add: CSR Expenses</t>
        </is>
      </c>
      <c r="C57" s="655" t="n"/>
      <c r="H57" s="647">
        <f>Notes!D111</f>
        <v/>
      </c>
    </row>
    <row r="58">
      <c r="B58" t="inlineStr">
        <is>
          <t>Add: Dep as per co Act</t>
        </is>
      </c>
      <c r="C58" s="797">
        <f>D45</f>
        <v/>
      </c>
      <c r="H58" s="798">
        <f>D45</f>
        <v/>
      </c>
    </row>
    <row r="59">
      <c r="C59" s="655">
        <f>SUM(C56:C58)</f>
        <v/>
      </c>
      <c r="H59">
        <f>SUM(H56:H58)</f>
        <v/>
      </c>
    </row>
    <row r="60">
      <c r="B60" t="inlineStr">
        <is>
          <t>less Dep as per IT Act</t>
        </is>
      </c>
      <c r="C60" s="797">
        <f>D44</f>
        <v/>
      </c>
      <c r="E60" s="799">
        <f>L35</f>
        <v/>
      </c>
      <c r="H60" s="746">
        <f>D44</f>
        <v/>
      </c>
    </row>
    <row r="61">
      <c r="C61" s="655">
        <f>C59-C60</f>
        <v/>
      </c>
      <c r="E61" s="647">
        <f>C59-E60</f>
        <v/>
      </c>
      <c r="H61" s="746">
        <f>H59-H60</f>
        <v/>
      </c>
    </row>
    <row r="62">
      <c r="B62" t="inlineStr">
        <is>
          <t>other income - interest on I T Refund</t>
        </is>
      </c>
      <c r="C62" s="655" t="n"/>
      <c r="E62" s="797" t="n"/>
    </row>
    <row r="63">
      <c r="B63" t="inlineStr">
        <is>
          <t xml:space="preserve">Tax thereon </t>
        </is>
      </c>
      <c r="C63" s="730">
        <f>C61*31.2%</f>
        <v/>
      </c>
      <c r="E63" s="647">
        <f>SUM(E61:E62)</f>
        <v/>
      </c>
      <c r="H63" s="746">
        <f>H61*26%</f>
        <v/>
      </c>
    </row>
  </sheetData>
  <mergeCells count="4">
    <mergeCell ref="A3:K3"/>
    <mergeCell ref="B4:B7"/>
    <mergeCell ref="E4:G4"/>
    <mergeCell ref="I4:L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75"/>
  <sheetViews>
    <sheetView zoomScale="90" zoomScaleNormal="90" workbookViewId="0">
      <selection activeCell="N23" sqref="N23"/>
    </sheetView>
  </sheetViews>
  <sheetFormatPr baseColWidth="8" defaultColWidth="9" defaultRowHeight="14.5"/>
  <cols>
    <col width="42.54296875" customWidth="1" min="1" max="1"/>
    <col width="13.26953125" customWidth="1" min="2" max="2"/>
    <col width="13.08984375" customWidth="1" min="3" max="3"/>
    <col width="11" customWidth="1" min="4" max="4"/>
    <col width="12.90625" customWidth="1" min="5" max="5"/>
    <col width="11.54296875" customWidth="1" min="6" max="6"/>
    <col width="12.36328125" customWidth="1" min="7" max="7"/>
    <col width="9.6328125" customWidth="1" min="8" max="8"/>
    <col width="12.90625" customWidth="1" min="9" max="9"/>
    <col width="11.90625" customWidth="1" min="10" max="10"/>
    <col width="9.90625" customWidth="1" min="11" max="12"/>
    <col width="8.6328125" customWidth="1" min="13" max="13"/>
    <col width="10" customWidth="1" min="14" max="14"/>
    <col width="12.36328125" customWidth="1" min="15" max="15"/>
    <col width="9" customWidth="1" min="16" max="16"/>
    <col width="9.90625" customWidth="1" min="17" max="17"/>
    <col width="9.453125" customWidth="1" min="18" max="18"/>
    <col width="10.6328125" customWidth="1" min="19" max="20"/>
    <col width="9.54296875" customWidth="1" min="21" max="21"/>
    <col width="10.6328125" customWidth="1" min="22" max="22"/>
  </cols>
  <sheetData>
    <row r="1">
      <c r="A1" s="621" t="inlineStr">
        <is>
          <t>RAMSON AND GRANDSON JEWELLERS PRIVATE LIMITED</t>
        </is>
      </c>
    </row>
    <row r="2">
      <c r="A2" s="1" t="inlineStr">
        <is>
          <t>F.Y 2022-23</t>
        </is>
      </c>
      <c r="F2" s="746" t="n"/>
      <c r="G2" s="746" t="n"/>
    </row>
    <row r="3">
      <c r="A3" s="1" t="inlineStr">
        <is>
          <t>Note no. 7 - Fixed Assets</t>
        </is>
      </c>
    </row>
    <row r="4"/>
    <row r="5">
      <c r="A5" s="800" t="n"/>
      <c r="B5" s="801" t="inlineStr">
        <is>
          <t>Gross Block</t>
        </is>
      </c>
      <c r="C5" s="802" t="n"/>
      <c r="D5" s="802" t="n"/>
      <c r="E5" s="802" t="n"/>
      <c r="F5" s="803" t="n"/>
      <c r="G5" s="801" t="inlineStr">
        <is>
          <t>Depreciation</t>
        </is>
      </c>
      <c r="H5" s="802" t="n"/>
      <c r="I5" s="802" t="n"/>
      <c r="J5" s="803" t="n"/>
      <c r="K5" s="804" t="inlineStr">
        <is>
          <t>Net Block</t>
        </is>
      </c>
      <c r="L5" s="803" t="n"/>
    </row>
    <row r="6" ht="29" customHeight="1">
      <c r="A6" s="805" t="inlineStr">
        <is>
          <t xml:space="preserve">            Particulars             </t>
        </is>
      </c>
      <c r="B6" s="806" t="inlineStr">
        <is>
          <t>As at             01-04-2022</t>
        </is>
      </c>
      <c r="C6" s="807" t="inlineStr">
        <is>
          <t>Additions</t>
        </is>
      </c>
      <c r="D6" s="808" t="inlineStr">
        <is>
          <t>Deletions</t>
        </is>
      </c>
      <c r="E6" s="809" t="inlineStr">
        <is>
          <t>Adjustment</t>
        </is>
      </c>
      <c r="F6" s="810" t="inlineStr">
        <is>
          <t>As At</t>
        </is>
      </c>
      <c r="G6" s="809" t="inlineStr">
        <is>
          <t xml:space="preserve">upto </t>
        </is>
      </c>
      <c r="H6" s="808" t="inlineStr">
        <is>
          <t xml:space="preserve">During </t>
        </is>
      </c>
      <c r="I6" s="811" t="inlineStr">
        <is>
          <t>Adjustment</t>
        </is>
      </c>
      <c r="J6" s="810" t="inlineStr">
        <is>
          <t xml:space="preserve">upto </t>
        </is>
      </c>
      <c r="K6" s="807" t="inlineStr">
        <is>
          <t>As at</t>
        </is>
      </c>
      <c r="L6" s="812" t="inlineStr">
        <is>
          <t>As at</t>
        </is>
      </c>
    </row>
    <row r="7">
      <c r="A7" s="813" t="n"/>
      <c r="B7" s="814" t="n"/>
      <c r="C7" s="815" t="n"/>
      <c r="D7" s="816" t="n"/>
      <c r="E7" s="817" t="n"/>
      <c r="F7" s="818" t="inlineStr">
        <is>
          <t>31.03.2023</t>
        </is>
      </c>
      <c r="G7" s="819" t="inlineStr">
        <is>
          <t>01.04.2022</t>
        </is>
      </c>
      <c r="H7" s="816" t="inlineStr">
        <is>
          <t>the year</t>
        </is>
      </c>
      <c r="I7" s="820" t="n"/>
      <c r="J7" s="818" t="inlineStr">
        <is>
          <t>31-03-2023</t>
        </is>
      </c>
      <c r="K7" s="821" t="inlineStr">
        <is>
          <t>31-03-23</t>
        </is>
      </c>
      <c r="L7" s="822" t="inlineStr">
        <is>
          <t>31-03-22</t>
        </is>
      </c>
    </row>
    <row r="8">
      <c r="A8" s="823" t="inlineStr">
        <is>
          <t>TANGIBLE ASSETS</t>
        </is>
      </c>
      <c r="B8" s="824" t="n"/>
      <c r="C8" s="825" t="n"/>
      <c r="D8" s="826" t="n"/>
      <c r="E8" s="827" t="n"/>
      <c r="F8" s="828" t="n"/>
      <c r="G8" s="829" t="n"/>
      <c r="H8" s="825" t="n"/>
      <c r="I8" s="830" t="n"/>
      <c r="J8" s="828" t="n"/>
      <c r="K8" s="831" t="n"/>
      <c r="L8" s="832" t="n"/>
    </row>
    <row r="9">
      <c r="A9" s="833" t="inlineStr">
        <is>
          <t>I.COMPUTERS AND DATA PROCESSING UNITS</t>
        </is>
      </c>
      <c r="B9" s="834" t="n"/>
      <c r="C9" s="825" t="n"/>
      <c r="D9" s="826" t="n"/>
      <c r="E9" s="826" t="n"/>
      <c r="F9" s="835">
        <f>B9+C9-D9</f>
        <v/>
      </c>
      <c r="G9" s="836" t="n"/>
      <c r="H9" s="825">
        <f>S31</f>
        <v/>
      </c>
      <c r="I9" s="830" t="n"/>
      <c r="J9" s="828">
        <f>G9+H9+I9</f>
        <v/>
      </c>
      <c r="K9" s="837">
        <f>F9-J9</f>
        <v/>
      </c>
      <c r="L9" s="838" t="n"/>
      <c r="N9" s="746" t="n"/>
    </row>
    <row r="10">
      <c r="A10" s="833" t="inlineStr">
        <is>
          <t>II.PlANT AND MACHINERY</t>
        </is>
      </c>
      <c r="B10" s="834" t="n"/>
      <c r="C10" s="825" t="n"/>
      <c r="D10" s="826" t="n"/>
      <c r="E10" s="826" t="n"/>
      <c r="F10" s="835">
        <f>B10+C10-D10</f>
        <v/>
      </c>
      <c r="G10" s="836" t="n"/>
      <c r="H10" s="825">
        <f>S36</f>
        <v/>
      </c>
      <c r="I10" s="830" t="n"/>
      <c r="J10" s="828">
        <f>G10+H10</f>
        <v/>
      </c>
      <c r="K10" s="837">
        <f>F10-J10</f>
        <v/>
      </c>
      <c r="L10" s="838" t="n"/>
      <c r="N10" s="746" t="n"/>
    </row>
    <row r="11">
      <c r="A11" s="833" t="inlineStr">
        <is>
          <t>III.OFFICE EQUIPMENT</t>
        </is>
      </c>
      <c r="B11" s="839" t="n"/>
      <c r="C11" s="825" t="n"/>
      <c r="D11" s="826" t="n"/>
      <c r="E11" s="826" t="n"/>
      <c r="F11" s="835">
        <f>B11+C11</f>
        <v/>
      </c>
      <c r="G11" s="836" t="n"/>
      <c r="H11" s="825">
        <f>S64</f>
        <v/>
      </c>
      <c r="I11" s="830" t="n"/>
      <c r="J11" s="828">
        <f>G11+H11</f>
        <v/>
      </c>
      <c r="K11" s="837">
        <f>F11-J11</f>
        <v/>
      </c>
      <c r="L11" s="838" t="n"/>
      <c r="N11" s="746" t="n"/>
    </row>
    <row r="12">
      <c r="A12" s="833" t="inlineStr">
        <is>
          <t>IV. FURNITURE AND FIXTURES</t>
        </is>
      </c>
      <c r="B12" s="839" t="n"/>
      <c r="C12" s="826" t="n"/>
      <c r="D12" s="826" t="n"/>
      <c r="E12" s="826" t="n"/>
      <c r="F12" s="835">
        <f>B12+C12-D12</f>
        <v/>
      </c>
      <c r="G12" s="836" t="n"/>
      <c r="H12" s="825">
        <f>S71</f>
        <v/>
      </c>
      <c r="I12" s="830" t="n"/>
      <c r="J12" s="828">
        <f>G12+H12</f>
        <v/>
      </c>
      <c r="K12" s="837">
        <f>F12-J12</f>
        <v/>
      </c>
      <c r="L12" s="838" t="n"/>
      <c r="N12" s="746" t="n"/>
    </row>
    <row r="13">
      <c r="A13" s="840" t="n"/>
      <c r="B13" s="841">
        <f>SUM(B9:B12)</f>
        <v/>
      </c>
      <c r="C13" s="842">
        <f>SUM(C9:C12)</f>
        <v/>
      </c>
      <c r="D13" s="842">
        <f>SUM(D9:D12)</f>
        <v/>
      </c>
      <c r="E13" s="842">
        <f>SUM(E9:E12)</f>
        <v/>
      </c>
      <c r="F13" s="843">
        <f>SUM(F9:F12)</f>
        <v/>
      </c>
      <c r="G13" s="844">
        <f>SUM(G9:G12)</f>
        <v/>
      </c>
      <c r="H13" s="845">
        <f>SUM(H9:H12)</f>
        <v/>
      </c>
      <c r="I13" s="842">
        <f>SUM(I9:I12)</f>
        <v/>
      </c>
      <c r="J13" s="843">
        <f>SUM(J9:J12)</f>
        <v/>
      </c>
      <c r="K13" s="845">
        <f>SUM(K9:K12)</f>
        <v/>
      </c>
      <c r="L13" s="843">
        <f>SUM(L9:L12)</f>
        <v/>
      </c>
      <c r="N13" s="746">
        <f>L13+C13</f>
        <v/>
      </c>
    </row>
    <row r="14">
      <c r="A14" s="846" t="inlineStr">
        <is>
          <t>PREVIOUS YEAR</t>
        </is>
      </c>
      <c r="B14" s="841" t="n"/>
      <c r="C14" s="842" t="n"/>
      <c r="D14" s="842" t="n"/>
      <c r="E14" s="842" t="n"/>
      <c r="F14" s="843" t="n"/>
      <c r="G14" s="847" t="n"/>
      <c r="H14" s="845" t="n"/>
      <c r="I14" s="842" t="n"/>
      <c r="J14" s="843" t="n"/>
      <c r="K14" s="845" t="n"/>
      <c r="L14" s="843" t="n"/>
      <c r="N14" s="746" t="n"/>
    </row>
    <row r="15">
      <c r="A15" s="848" t="n"/>
      <c r="B15" s="849" t="n"/>
      <c r="C15" s="849" t="n"/>
      <c r="D15" s="849" t="n"/>
      <c r="E15" s="849" t="n"/>
      <c r="F15" s="849" t="n"/>
      <c r="G15" s="655" t="n"/>
      <c r="H15" s="849" t="n"/>
      <c r="I15" s="849" t="n"/>
      <c r="J15" s="849" t="n"/>
      <c r="K15" s="849" t="n"/>
      <c r="L15" s="849" t="n"/>
    </row>
    <row r="16">
      <c r="A16" s="848" t="n"/>
      <c r="B16" s="849" t="n"/>
      <c r="C16" s="849" t="n"/>
      <c r="D16" s="849" t="n"/>
      <c r="E16" s="849" t="n"/>
      <c r="F16" s="849" t="n"/>
      <c r="G16" s="655" t="n"/>
      <c r="K16" s="849" t="n"/>
      <c r="L16" s="849" t="n"/>
      <c r="N16" s="746" t="n"/>
    </row>
    <row r="17">
      <c r="A17" s="848" t="n"/>
      <c r="B17" s="849" t="n"/>
      <c r="C17" s="849" t="n"/>
      <c r="D17" s="849" t="n"/>
      <c r="E17" s="849" t="n"/>
      <c r="F17" s="849" t="n"/>
      <c r="G17" s="655" t="n"/>
      <c r="H17" t="inlineStr">
        <is>
          <t>Director</t>
        </is>
      </c>
      <c r="I17" s="849" t="n"/>
      <c r="J17" t="inlineStr">
        <is>
          <t>Director</t>
        </is>
      </c>
      <c r="K17" s="849" t="n"/>
      <c r="L17" s="849" t="n"/>
    </row>
    <row r="18">
      <c r="A18" s="848" t="n"/>
      <c r="B18" s="849" t="n"/>
      <c r="C18" s="849" t="n"/>
      <c r="D18" s="849" t="n"/>
      <c r="E18" s="849" t="n"/>
      <c r="F18" s="849" t="n"/>
      <c r="G18" s="655" t="n"/>
      <c r="I18" s="849" t="n"/>
      <c r="K18" s="849" t="n"/>
      <c r="L18" s="849" t="n"/>
    </row>
    <row r="19">
      <c r="A19" s="848" t="n"/>
      <c r="B19" s="849" t="n"/>
      <c r="C19" s="849" t="n"/>
      <c r="D19" s="849" t="n"/>
      <c r="E19" s="849" t="n"/>
      <c r="F19" s="849" t="n"/>
      <c r="G19" s="655" t="n"/>
      <c r="I19" s="849" t="n"/>
      <c r="K19" s="849" t="n"/>
      <c r="L19" s="849" t="n"/>
    </row>
    <row r="20">
      <c r="A20" s="848" t="n"/>
      <c r="B20" s="849" t="n"/>
      <c r="C20" s="849" t="n"/>
      <c r="D20" s="849" t="n"/>
      <c r="E20" s="849" t="n"/>
      <c r="F20" s="849" t="n"/>
      <c r="G20" s="655" t="n"/>
      <c r="I20" s="849" t="n"/>
      <c r="K20" s="849" t="n"/>
      <c r="L20" s="849" t="n"/>
    </row>
    <row r="21">
      <c r="A21" s="848" t="n"/>
      <c r="B21" s="827" t="n"/>
      <c r="C21" s="827" t="n"/>
      <c r="D21" s="827" t="n"/>
      <c r="E21" s="827" t="n"/>
      <c r="F21" s="827" t="n"/>
      <c r="G21" s="827" t="n"/>
      <c r="H21" s="827" t="n"/>
      <c r="I21" s="827" t="n"/>
      <c r="J21" s="827" t="n"/>
      <c r="K21" s="827" t="n"/>
      <c r="L21" s="827" t="n"/>
      <c r="P21" s="746" t="n"/>
    </row>
    <row r="22">
      <c r="A22" s="1" t="inlineStr">
        <is>
          <t>**Depreciation is Calculated on SLM Basis</t>
        </is>
      </c>
    </row>
    <row r="23">
      <c r="O23" s="730" t="n"/>
    </row>
    <row r="24" ht="188.5" customHeight="1">
      <c r="A24" s="850" t="inlineStr">
        <is>
          <t>Block (Old)</t>
        </is>
      </c>
      <c r="B24" s="851" t="inlineStr">
        <is>
          <t>Block of Asset as per 2013</t>
        </is>
      </c>
      <c r="C24" s="851" t="inlineStr">
        <is>
          <t>Head of Asset</t>
        </is>
      </c>
      <c r="D24" s="852" t="inlineStr">
        <is>
          <t>Date of purchase</t>
        </is>
      </c>
      <c r="E24" s="853" t="inlineStr">
        <is>
          <t>Cost Capitalised</t>
        </is>
      </c>
      <c r="F24" s="854" t="inlineStr">
        <is>
          <t>WDV as on 31-03-2019</t>
        </is>
      </c>
      <c r="G24" s="851" t="inlineStr">
        <is>
          <t>Depr for the FY 2017-18</t>
        </is>
      </c>
      <c r="H24" s="851" t="inlineStr">
        <is>
          <t>WDV as on 31-03-2018</t>
        </is>
      </c>
      <c r="I24" s="854" t="inlineStr">
        <is>
          <t>Value of Asset after Additions &amp; Deletions during the Year</t>
        </is>
      </c>
      <c r="J24" s="851" t="inlineStr">
        <is>
          <t>Depr for the FY 2018-19</t>
        </is>
      </c>
      <c r="K24" s="854" t="inlineStr">
        <is>
          <t>WDV as on 31-03-2019</t>
        </is>
      </c>
      <c r="L24" s="103" t="inlineStr">
        <is>
          <t>For additions during the year=(value of the asset/total useful no. of days)*no. of days asset used during the year</t>
        </is>
      </c>
      <c r="M24" s="855" t="inlineStr">
        <is>
          <t>Depr for the FY 2019-20</t>
        </is>
      </c>
      <c r="N24" s="856" t="inlineStr">
        <is>
          <t>WDV as at 31-03-2020</t>
        </is>
      </c>
      <c r="O24" s="855" t="inlineStr">
        <is>
          <t>Depr for the FY 2020-21</t>
        </is>
      </c>
      <c r="P24" s="856" t="inlineStr">
        <is>
          <t>WDV as at 31-03-2021</t>
        </is>
      </c>
      <c r="Q24" s="855" t="inlineStr">
        <is>
          <t>Depr for the FY 2021-22</t>
        </is>
      </c>
      <c r="R24" s="856" t="inlineStr">
        <is>
          <t>WDV as at 31-03-2022</t>
        </is>
      </c>
      <c r="S24" s="855" t="inlineStr">
        <is>
          <t>Depr for the FY 2022-23</t>
        </is>
      </c>
      <c r="T24" s="856" t="inlineStr">
        <is>
          <t>WDV as at 31-03-2023</t>
        </is>
      </c>
      <c r="U24" t="inlineStr">
        <is>
          <t>working 5%</t>
        </is>
      </c>
      <c r="V24" t="inlineStr">
        <is>
          <t>working</t>
        </is>
      </c>
    </row>
    <row r="25">
      <c r="A25" s="857" t="inlineStr">
        <is>
          <t>I.COMPUTERS AND DATA PROCESSING UNITS</t>
        </is>
      </c>
      <c r="B25" s="858" t="n"/>
      <c r="C25" s="859" t="n"/>
      <c r="D25" s="45" t="n"/>
      <c r="E25" s="860" t="n"/>
      <c r="F25" s="856" t="n"/>
      <c r="G25" s="861" t="n"/>
      <c r="H25" s="858" t="n"/>
      <c r="I25" s="859" t="n"/>
      <c r="J25" s="859" t="n"/>
      <c r="K25" s="859" t="n"/>
      <c r="L25" s="862" t="n"/>
      <c r="Q25" s="655" t="n"/>
      <c r="R25" s="655" t="n"/>
    </row>
    <row r="26">
      <c r="A26" s="863" t="inlineStr">
        <is>
          <t>Tally Software</t>
        </is>
      </c>
      <c r="B26" s="50" t="inlineStr">
        <is>
          <t>End user devices</t>
        </is>
      </c>
      <c r="C26" s="864" t="inlineStr">
        <is>
          <t>Tally Software</t>
        </is>
      </c>
      <c r="D26" s="52" t="n">
        <v>42832</v>
      </c>
      <c r="E26" s="865" t="n"/>
      <c r="F26" s="866" t="n"/>
      <c r="G26" s="867" t="n"/>
      <c r="H26" s="868">
        <f>E26-G26</f>
        <v/>
      </c>
      <c r="I26" s="864" t="n"/>
      <c r="J26" s="869">
        <f>17096+L26</f>
        <v/>
      </c>
      <c r="K26" s="864">
        <f>H26+I26-J26</f>
        <v/>
      </c>
      <c r="L26" s="870">
        <f>(I26/(3*365))*347</f>
        <v/>
      </c>
      <c r="M26" s="655" t="n"/>
      <c r="N26" s="746">
        <f>K26-M26</f>
        <v/>
      </c>
      <c r="P26" s="746">
        <f>N26-O26</f>
        <v/>
      </c>
      <c r="Q26" s="655" t="n"/>
      <c r="R26" s="655" t="n"/>
    </row>
    <row r="27">
      <c r="A27" s="57" t="inlineStr">
        <is>
          <t>Computers</t>
        </is>
      </c>
      <c r="B27" s="50" t="inlineStr">
        <is>
          <t>End user devices</t>
        </is>
      </c>
      <c r="C27" s="58" t="inlineStr">
        <is>
          <t>Computers</t>
        </is>
      </c>
      <c r="D27" s="59" t="n">
        <v>41859</v>
      </c>
      <c r="E27" s="871" t="n"/>
      <c r="F27" s="872">
        <f>G27+H27</f>
        <v/>
      </c>
      <c r="G27" s="636" t="n"/>
      <c r="H27" s="873" t="n"/>
      <c r="I27" s="874" t="n"/>
      <c r="J27" s="874" t="n"/>
      <c r="K27" s="874" t="n"/>
      <c r="L27" s="872" t="n"/>
      <c r="M27" s="655" t="n"/>
      <c r="N27" s="746" t="n"/>
      <c r="Q27" s="655" t="n"/>
      <c r="R27" s="655" t="n"/>
    </row>
    <row r="28">
      <c r="A28" s="57" t="inlineStr">
        <is>
          <t>Computers</t>
        </is>
      </c>
      <c r="B28" s="50" t="inlineStr">
        <is>
          <t>End user devices</t>
        </is>
      </c>
      <c r="C28" s="58" t="inlineStr">
        <is>
          <t>Computers</t>
        </is>
      </c>
      <c r="D28" s="59" t="n">
        <v>44557</v>
      </c>
      <c r="E28" s="871" t="n"/>
      <c r="F28" s="872" t="n"/>
      <c r="G28" s="636" t="n"/>
      <c r="H28" s="873" t="n"/>
      <c r="I28" s="874" t="n"/>
      <c r="J28" s="874" t="n"/>
      <c r="K28" s="872" t="n"/>
      <c r="L28" s="872" t="n"/>
      <c r="M28" s="655" t="n"/>
      <c r="N28" s="746" t="n"/>
      <c r="Q28" s="655">
        <f>60931*94/365</f>
        <v/>
      </c>
      <c r="R28" s="655">
        <f>E28-Q28</f>
        <v/>
      </c>
      <c r="T28" s="647">
        <f>R28-S28</f>
        <v/>
      </c>
      <c r="U28" s="647">
        <f>E28*5%</f>
        <v/>
      </c>
      <c r="V28" s="647">
        <f>(E28-U28)/3</f>
        <v/>
      </c>
    </row>
    <row r="29">
      <c r="A29" s="57" t="n"/>
      <c r="B29" s="50" t="n"/>
      <c r="C29" s="58" t="n"/>
      <c r="D29" s="59" t="n"/>
      <c r="E29" s="871" t="n"/>
      <c r="F29" s="872" t="n"/>
      <c r="G29" s="636" t="n"/>
      <c r="H29" s="873" t="n"/>
      <c r="I29" s="874" t="n"/>
      <c r="J29" s="874" t="n"/>
      <c r="K29" s="872" t="n"/>
      <c r="L29" s="872" t="n"/>
      <c r="M29" s="655" t="n"/>
      <c r="N29" s="746" t="n"/>
      <c r="Q29" s="655" t="n"/>
      <c r="R29" s="655" t="n"/>
    </row>
    <row r="30">
      <c r="A30" s="57" t="n"/>
      <c r="B30" s="50" t="n"/>
      <c r="C30" s="58" t="n"/>
      <c r="D30" s="59" t="n"/>
      <c r="E30" s="871" t="n"/>
      <c r="F30" s="872" t="n"/>
      <c r="G30" s="636" t="n"/>
      <c r="H30" s="873" t="n"/>
      <c r="I30" s="874" t="n"/>
      <c r="J30" s="874" t="n"/>
      <c r="K30" s="872" t="n"/>
      <c r="L30" s="875" t="n"/>
      <c r="M30" s="876" t="n"/>
      <c r="N30" s="746" t="n"/>
      <c r="Q30" s="655" t="n"/>
      <c r="R30" s="655" t="n"/>
    </row>
    <row r="31">
      <c r="A31" s="64" t="n"/>
      <c r="B31" s="50" t="n"/>
      <c r="C31" s="58" t="n"/>
      <c r="D31" s="59" t="n"/>
      <c r="E31" s="877">
        <f>SUM(E25:E30)</f>
        <v/>
      </c>
      <c r="F31" s="878">
        <f>SUM(F26:F27)</f>
        <v/>
      </c>
      <c r="G31" s="879">
        <f>SUM(G26:G27)</f>
        <v/>
      </c>
      <c r="H31" s="879">
        <f>SUM(H26:H27)</f>
        <v/>
      </c>
      <c r="I31" s="880" t="n"/>
      <c r="J31" s="879">
        <f>SUM(J26:J27)</f>
        <v/>
      </c>
      <c r="K31" s="881">
        <f>SUM(K26:K27)</f>
        <v/>
      </c>
      <c r="L31" s="882" t="n"/>
      <c r="M31" s="883">
        <f>SUM(M26:M27)</f>
        <v/>
      </c>
      <c r="N31" s="884">
        <f>SUM(N26:N27)</f>
        <v/>
      </c>
      <c r="O31" s="885">
        <f>SUM(O26:O27)</f>
        <v/>
      </c>
      <c r="P31" s="886">
        <f>SUM(P26:P27)</f>
        <v/>
      </c>
      <c r="Q31" s="887">
        <f>SUM(Q26:Q30)</f>
        <v/>
      </c>
      <c r="R31" s="887">
        <f>SUM(R26:R30)</f>
        <v/>
      </c>
      <c r="S31" s="887">
        <f>SUM(S26:S30)</f>
        <v/>
      </c>
      <c r="T31" s="887">
        <f>SUM(T26:T30)</f>
        <v/>
      </c>
    </row>
    <row r="32">
      <c r="A32" s="64" t="inlineStr">
        <is>
          <t>II.PLANT AND MACHINERY*</t>
        </is>
      </c>
      <c r="B32" s="50" t="n"/>
      <c r="C32" s="58" t="n"/>
      <c r="D32" s="59" t="n"/>
      <c r="E32" s="888" t="n"/>
      <c r="F32" s="889" t="n"/>
      <c r="G32" s="890" t="n"/>
      <c r="H32" s="891" t="n"/>
      <c r="I32" s="892" t="n"/>
      <c r="J32" s="891" t="n"/>
      <c r="K32" s="891" t="n"/>
      <c r="L32" s="882" t="n"/>
      <c r="M32" s="655" t="n"/>
      <c r="N32" s="746">
        <f>K32-M32</f>
        <v/>
      </c>
      <c r="Q32" s="655" t="n"/>
      <c r="R32" s="655" t="n"/>
    </row>
    <row r="33">
      <c r="A33" s="72" t="inlineStr">
        <is>
          <t>Buffing &amp; Drilling Machine</t>
        </is>
      </c>
      <c r="B33" s="50" t="inlineStr">
        <is>
          <t>Plant &amp; Machinery</t>
        </is>
      </c>
      <c r="C33" s="73" t="inlineStr">
        <is>
          <t>Buff machine</t>
        </is>
      </c>
      <c r="D33" s="74" t="n">
        <v>42991</v>
      </c>
      <c r="E33" s="893" t="n"/>
      <c r="F33" s="647" t="n"/>
      <c r="G33" s="894" t="n"/>
      <c r="H33" s="895">
        <f>E33-G33</f>
        <v/>
      </c>
      <c r="I33" s="892" t="n"/>
      <c r="J33" s="895">
        <f>(E33/(15*365))*365</f>
        <v/>
      </c>
      <c r="K33" s="895">
        <f>H33-J33</f>
        <v/>
      </c>
      <c r="L33" s="882" t="n"/>
      <c r="M33" s="655" t="n"/>
      <c r="N33" s="746">
        <f>K33-M33</f>
        <v/>
      </c>
      <c r="O33" s="655" t="n"/>
      <c r="P33" s="746">
        <f>N33-O33</f>
        <v/>
      </c>
      <c r="Q33" s="655" t="n"/>
      <c r="R33" s="655">
        <f>P33-Q33</f>
        <v/>
      </c>
      <c r="T33" s="647">
        <f>R33-S33</f>
        <v/>
      </c>
      <c r="U33" s="647">
        <f>E33*5%</f>
        <v/>
      </c>
    </row>
    <row r="34">
      <c r="A34" s="72" t="inlineStr">
        <is>
          <t>Melting Machine</t>
        </is>
      </c>
      <c r="B34" s="50" t="inlineStr">
        <is>
          <t>Plant &amp; Machinery</t>
        </is>
      </c>
      <c r="C34" s="73" t="inlineStr">
        <is>
          <t>Melting Machine</t>
        </is>
      </c>
      <c r="D34" s="74" t="n">
        <v>42957</v>
      </c>
      <c r="E34" s="893" t="n"/>
      <c r="F34" s="647" t="n"/>
      <c r="G34" s="894" t="n"/>
      <c r="H34" s="895">
        <f>E34-G34</f>
        <v/>
      </c>
      <c r="I34" s="892" t="n"/>
      <c r="J34" s="895">
        <f>(E34/(15*365))*365</f>
        <v/>
      </c>
      <c r="K34" s="895">
        <f>H34-J34</f>
        <v/>
      </c>
      <c r="L34" s="882" t="n"/>
      <c r="M34" s="655" t="n"/>
      <c r="N34" s="746">
        <f>K34-M34</f>
        <v/>
      </c>
      <c r="O34" s="655" t="n"/>
      <c r="P34" s="746">
        <f>N34-O34</f>
        <v/>
      </c>
      <c r="Q34" s="655" t="n"/>
      <c r="R34" s="655">
        <f>P34-Q34</f>
        <v/>
      </c>
      <c r="T34" s="647">
        <f>R34-S34</f>
        <v/>
      </c>
      <c r="U34" s="647">
        <f>E34*5%</f>
        <v/>
      </c>
    </row>
    <row r="35">
      <c r="A35" s="72" t="inlineStr">
        <is>
          <t>Wire Drawing Machine</t>
        </is>
      </c>
      <c r="B35" s="50" t="inlineStr">
        <is>
          <t>Plant &amp; Machinery</t>
        </is>
      </c>
      <c r="C35" s="73" t="inlineStr">
        <is>
          <t>Wire Drawing Machine</t>
        </is>
      </c>
      <c r="D35" s="74" t="n">
        <v>43013</v>
      </c>
      <c r="E35" s="893" t="n"/>
      <c r="F35" s="647" t="n"/>
      <c r="G35" s="894" t="n"/>
      <c r="H35" s="895">
        <f>E35-G35</f>
        <v/>
      </c>
      <c r="I35" s="892" t="n"/>
      <c r="J35" s="895">
        <f>(E35/(15*365))*365</f>
        <v/>
      </c>
      <c r="K35" s="895">
        <f>H35-J35</f>
        <v/>
      </c>
      <c r="L35" s="882" t="n"/>
      <c r="M35" s="876" t="n"/>
      <c r="N35" s="746">
        <f>K35-M35</f>
        <v/>
      </c>
      <c r="O35" s="876" t="n"/>
      <c r="P35" s="746">
        <f>N35-O35</f>
        <v/>
      </c>
      <c r="Q35" s="655" t="n"/>
      <c r="R35" s="655">
        <f>P35-Q35</f>
        <v/>
      </c>
      <c r="T35" s="647">
        <f>R35-S35</f>
        <v/>
      </c>
      <c r="U35" s="647">
        <f>E35*5%</f>
        <v/>
      </c>
    </row>
    <row r="36">
      <c r="A36" s="64" t="n"/>
      <c r="B36" s="50" t="n"/>
      <c r="C36" s="58" t="n"/>
      <c r="D36" s="59" t="n"/>
      <c r="E36" s="896">
        <f>SUM(E33:E35)</f>
        <v/>
      </c>
      <c r="F36" s="897" t="n"/>
      <c r="G36" s="897">
        <f>SUM(G33:G35)</f>
        <v/>
      </c>
      <c r="H36" s="897">
        <f>SUM(H33:H35)</f>
        <v/>
      </c>
      <c r="I36" s="897">
        <f>SUM(I33:I35)</f>
        <v/>
      </c>
      <c r="J36" s="897">
        <f>SUM(J33:J35)</f>
        <v/>
      </c>
      <c r="K36" s="898">
        <f>SUM(K33:K35)</f>
        <v/>
      </c>
      <c r="L36" s="882" t="n"/>
      <c r="M36" s="883" t="n"/>
      <c r="N36" s="884">
        <f>K36-M36</f>
        <v/>
      </c>
      <c r="O36" s="899">
        <f>SUM(O33:O35)</f>
        <v/>
      </c>
      <c r="P36" s="886">
        <f>SUM(P33:P35)</f>
        <v/>
      </c>
      <c r="Q36" s="887">
        <f>SUM(Q33:Q35)</f>
        <v/>
      </c>
      <c r="R36" s="887">
        <f>SUM(R33:R35)</f>
        <v/>
      </c>
      <c r="S36" s="887">
        <f>SUM(S33:S35)</f>
        <v/>
      </c>
      <c r="T36" s="887">
        <f>SUM(T33:T35)</f>
        <v/>
      </c>
    </row>
    <row r="37">
      <c r="A37" s="64" t="inlineStr">
        <is>
          <t>III.OFFICE EQUIPMENT</t>
        </is>
      </c>
      <c r="B37" s="50" t="n"/>
      <c r="C37" s="58" t="n"/>
      <c r="D37" s="59" t="n"/>
      <c r="E37" s="896" t="n"/>
      <c r="F37" s="900" t="n"/>
      <c r="G37" s="901" t="n"/>
      <c r="H37" s="901" t="n"/>
      <c r="I37" s="902" t="n"/>
      <c r="J37" s="902" t="n"/>
      <c r="K37" s="902" t="n"/>
      <c r="L37" s="903" t="n"/>
      <c r="M37" s="655" t="n"/>
      <c r="N37" s="746">
        <f>K37-M37</f>
        <v/>
      </c>
      <c r="Q37" s="655" t="n"/>
      <c r="R37" s="655" t="n"/>
    </row>
    <row r="38">
      <c r="A38" s="72" t="inlineStr">
        <is>
          <t>Air Conditioner</t>
        </is>
      </c>
      <c r="B38" s="50" t="inlineStr">
        <is>
          <t>Office Equipment</t>
        </is>
      </c>
      <c r="C38" s="73" t="inlineStr">
        <is>
          <t>Air Conditioner</t>
        </is>
      </c>
      <c r="D38" s="74" t="n">
        <v>41639</v>
      </c>
      <c r="E38" s="893" t="n"/>
      <c r="F38" s="647">
        <f>G38+H38</f>
        <v/>
      </c>
      <c r="G38" s="637" t="n"/>
      <c r="H38" s="648" t="n"/>
      <c r="I38" s="904" t="n"/>
      <c r="J38" s="756">
        <f>H38</f>
        <v/>
      </c>
      <c r="K38" s="890" t="n"/>
      <c r="L38" s="882" t="n"/>
      <c r="M38" s="655" t="n"/>
      <c r="N38" s="746" t="n"/>
      <c r="Q38" s="655" t="n"/>
      <c r="R38" s="655" t="n"/>
    </row>
    <row r="39">
      <c r="A39" s="72" t="inlineStr">
        <is>
          <t>Weighing Machine</t>
        </is>
      </c>
      <c r="B39" s="50" t="inlineStr">
        <is>
          <t>Office Equipment</t>
        </is>
      </c>
      <c r="C39" s="73" t="inlineStr">
        <is>
          <t>Weighing Machine</t>
        </is>
      </c>
      <c r="D39" s="85" t="n"/>
      <c r="E39" s="893" t="n"/>
      <c r="F39" s="647">
        <f>G39+H39</f>
        <v/>
      </c>
      <c r="G39" s="50" t="n"/>
      <c r="H39" s="648" t="n"/>
      <c r="I39" s="904" t="n"/>
      <c r="J39" s="894">
        <f>H39</f>
        <v/>
      </c>
      <c r="K39" s="890" t="n"/>
      <c r="L39" s="882" t="n"/>
      <c r="M39" s="655" t="n"/>
      <c r="N39" s="746" t="n"/>
      <c r="Q39" s="655" t="n"/>
      <c r="R39" s="655" t="n"/>
    </row>
    <row r="40">
      <c r="A40" s="72" t="inlineStr">
        <is>
          <t>Counting Machine</t>
        </is>
      </c>
      <c r="B40" s="50" t="inlineStr">
        <is>
          <t>Office Equipment</t>
        </is>
      </c>
      <c r="C40" s="73" t="inlineStr">
        <is>
          <t>Counting Machine</t>
        </is>
      </c>
      <c r="D40" s="85" t="inlineStr">
        <is>
          <t>25-07-2012</t>
        </is>
      </c>
      <c r="E40" s="905" t="n"/>
      <c r="F40" s="647">
        <f>G40+H40</f>
        <v/>
      </c>
      <c r="G40" s="637" t="n"/>
      <c r="H40" s="773" t="n"/>
      <c r="I40" s="904" t="n"/>
      <c r="J40" s="894" t="n"/>
      <c r="K40" s="890" t="n"/>
      <c r="L40" s="882" t="n"/>
      <c r="M40" s="655" t="n"/>
      <c r="N40" s="746">
        <f>K40-M40</f>
        <v/>
      </c>
      <c r="Q40" s="655" t="n"/>
      <c r="R40" s="655" t="n"/>
    </row>
    <row r="41">
      <c r="A41" s="72" t="inlineStr">
        <is>
          <t>Counting Machine</t>
        </is>
      </c>
      <c r="B41" s="50" t="inlineStr">
        <is>
          <t>Office Equipment</t>
        </is>
      </c>
      <c r="C41" s="73" t="inlineStr">
        <is>
          <t>Counting Machine</t>
        </is>
      </c>
      <c r="D41" s="74" t="n">
        <v>41859</v>
      </c>
      <c r="E41" s="905" t="n"/>
      <c r="F41" s="647">
        <f>G41+H41</f>
        <v/>
      </c>
      <c r="G41" s="637" t="n"/>
      <c r="H41" s="637" t="n"/>
      <c r="I41" s="904" t="n"/>
      <c r="J41" s="894">
        <f>G41</f>
        <v/>
      </c>
      <c r="K41" s="906">
        <f>H41-J41</f>
        <v/>
      </c>
      <c r="L41" s="882" t="n"/>
      <c r="M41" s="655" t="n"/>
      <c r="N41" s="746">
        <f>K41-M41</f>
        <v/>
      </c>
      <c r="Q41" s="655" t="n"/>
      <c r="R41" s="655" t="n"/>
    </row>
    <row r="42">
      <c r="A42" s="72" t="inlineStr">
        <is>
          <t>Printer (HP 120)</t>
        </is>
      </c>
      <c r="B42" s="50" t="inlineStr">
        <is>
          <t>Office Equipment</t>
        </is>
      </c>
      <c r="C42" s="73" t="inlineStr">
        <is>
          <t>Printer (HP 120)</t>
        </is>
      </c>
      <c r="D42" s="85" t="inlineStr">
        <is>
          <t>17-05-2014</t>
        </is>
      </c>
      <c r="E42" s="893" t="n"/>
      <c r="F42" s="647">
        <f>G42+H42</f>
        <v/>
      </c>
      <c r="G42" s="637" t="n"/>
      <c r="H42" s="894" t="n"/>
      <c r="I42" s="652" t="n"/>
      <c r="J42" s="894">
        <f>G42</f>
        <v/>
      </c>
      <c r="K42" s="906">
        <f>H42+I42-J42</f>
        <v/>
      </c>
      <c r="L42" s="907" t="n"/>
      <c r="M42" s="655" t="n"/>
      <c r="N42" s="746">
        <f>K42-M42</f>
        <v/>
      </c>
      <c r="Q42" s="655" t="n"/>
      <c r="R42" s="655" t="n"/>
    </row>
    <row r="43">
      <c r="A43" s="72" t="inlineStr">
        <is>
          <t>Water Dispenser</t>
        </is>
      </c>
      <c r="B43" s="50" t="inlineStr">
        <is>
          <t>Office Equipment</t>
        </is>
      </c>
      <c r="C43" s="73" t="inlineStr">
        <is>
          <t>Water Dispenser</t>
        </is>
      </c>
      <c r="D43" s="74" t="n">
        <v>41675</v>
      </c>
      <c r="E43" s="871" t="n"/>
      <c r="F43" s="647">
        <f>G43+H43</f>
        <v/>
      </c>
      <c r="G43" s="637" t="n"/>
      <c r="H43" s="873" t="n"/>
      <c r="I43" s="908" t="n"/>
      <c r="J43" s="873">
        <f>G43</f>
        <v/>
      </c>
      <c r="K43" s="909">
        <f>H43-J43</f>
        <v/>
      </c>
      <c r="L43" s="910" t="n"/>
      <c r="M43" s="655" t="n"/>
      <c r="N43" s="746">
        <f>K43-M43</f>
        <v/>
      </c>
      <c r="Q43" s="655" t="n"/>
      <c r="R43" s="655" t="n"/>
    </row>
    <row r="44">
      <c r="A44" s="72" t="inlineStr">
        <is>
          <t>Camera</t>
        </is>
      </c>
      <c r="B44" s="50" t="inlineStr">
        <is>
          <t>Office Equipment</t>
        </is>
      </c>
      <c r="C44" s="73" t="inlineStr">
        <is>
          <t>Camera</t>
        </is>
      </c>
      <c r="D44" s="74" t="n">
        <v>42038</v>
      </c>
      <c r="E44" s="871" t="n"/>
      <c r="F44" s="647">
        <f>G44+H44</f>
        <v/>
      </c>
      <c r="G44" s="637" t="n"/>
      <c r="H44" s="873" t="n"/>
      <c r="I44" s="908" t="n"/>
      <c r="J44" s="873">
        <f>G44</f>
        <v/>
      </c>
      <c r="K44" s="909">
        <f>H44-J44</f>
        <v/>
      </c>
      <c r="L44" s="910" t="n"/>
      <c r="M44" s="655" t="n"/>
      <c r="N44" s="746">
        <f>K44-M44</f>
        <v/>
      </c>
      <c r="Q44" s="655" t="n"/>
      <c r="R44" s="655" t="n"/>
    </row>
    <row r="45">
      <c r="A45" s="72" t="inlineStr">
        <is>
          <t>Coffee Machine</t>
        </is>
      </c>
      <c r="B45" s="50" t="inlineStr">
        <is>
          <t>Office Equipment</t>
        </is>
      </c>
      <c r="C45" s="73" t="inlineStr">
        <is>
          <t>Coffee Machine</t>
        </is>
      </c>
      <c r="D45" s="74" t="n">
        <v>41739</v>
      </c>
      <c r="E45" s="871" t="n"/>
      <c r="F45" s="647">
        <f>G45+H45</f>
        <v/>
      </c>
      <c r="G45" s="637" t="n"/>
      <c r="H45" s="873" t="n"/>
      <c r="I45" s="908" t="n"/>
      <c r="J45" s="873">
        <f>G45</f>
        <v/>
      </c>
      <c r="K45" s="909">
        <f>H45-J45</f>
        <v/>
      </c>
      <c r="L45" s="910" t="n"/>
      <c r="M45" s="655" t="n"/>
      <c r="N45" s="746">
        <f>K45-M45</f>
        <v/>
      </c>
      <c r="Q45" s="655" t="n"/>
      <c r="R45" s="655" t="n"/>
    </row>
    <row r="46">
      <c r="A46" s="72" t="inlineStr">
        <is>
          <t>EPABX (Telephone)</t>
        </is>
      </c>
      <c r="B46" s="50" t="inlineStr">
        <is>
          <t>Office Equipment</t>
        </is>
      </c>
      <c r="C46" s="73" t="inlineStr">
        <is>
          <t>EPABX (Telephone)</t>
        </is>
      </c>
      <c r="D46" s="74" t="n">
        <v>41780</v>
      </c>
      <c r="E46" s="871" t="n"/>
      <c r="F46" s="647">
        <f>G46+H46</f>
        <v/>
      </c>
      <c r="G46" s="637" t="n"/>
      <c r="H46" s="873" t="n"/>
      <c r="I46" s="908" t="n"/>
      <c r="J46" s="873">
        <f>G46</f>
        <v/>
      </c>
      <c r="K46" s="909">
        <f>H46-J46</f>
        <v/>
      </c>
      <c r="L46" s="910" t="n"/>
      <c r="M46" s="655" t="n"/>
      <c r="N46" s="746">
        <f>K46-M46</f>
        <v/>
      </c>
      <c r="Q46" s="655" t="n"/>
      <c r="R46" s="655" t="n"/>
    </row>
    <row r="47">
      <c r="A47" s="72" t="inlineStr">
        <is>
          <t>Television</t>
        </is>
      </c>
      <c r="B47" s="50" t="inlineStr">
        <is>
          <t>Office Equipment</t>
        </is>
      </c>
      <c r="C47" s="73" t="inlineStr">
        <is>
          <t>Television</t>
        </is>
      </c>
      <c r="D47" s="74" t="n">
        <v>41852</v>
      </c>
      <c r="E47" s="871" t="n"/>
      <c r="F47" s="647">
        <f>G47+H47</f>
        <v/>
      </c>
      <c r="G47" s="637" t="n"/>
      <c r="H47" s="873" t="n"/>
      <c r="I47" s="908" t="n"/>
      <c r="J47" s="873">
        <f>G47</f>
        <v/>
      </c>
      <c r="K47" s="909">
        <f>H47-J47</f>
        <v/>
      </c>
      <c r="L47" s="910" t="n"/>
      <c r="M47" s="655" t="n"/>
      <c r="N47" s="746">
        <f>K47-M47</f>
        <v/>
      </c>
      <c r="P47" s="655" t="n"/>
      <c r="Q47" s="655" t="n"/>
      <c r="R47" s="655" t="n"/>
    </row>
    <row r="48">
      <c r="A48" s="72" t="inlineStr">
        <is>
          <t>Cell Phone Samsung</t>
        </is>
      </c>
      <c r="B48" s="50" t="inlineStr">
        <is>
          <t>Office Equipment</t>
        </is>
      </c>
      <c r="C48" s="88" t="inlineStr">
        <is>
          <t>Cell phone</t>
        </is>
      </c>
      <c r="D48" s="89" t="n">
        <v>43673</v>
      </c>
      <c r="E48" s="871" t="n"/>
      <c r="F48" s="647" t="n"/>
      <c r="G48" s="911" t="n"/>
      <c r="H48" s="874" t="n"/>
      <c r="I48" s="912" t="n"/>
      <c r="J48" s="874" t="n"/>
      <c r="K48" s="872" t="n"/>
      <c r="L48" s="910" t="n"/>
      <c r="M48" s="655" t="n"/>
      <c r="N48" s="746">
        <f>I48-M48</f>
        <v/>
      </c>
      <c r="P48" s="655">
        <f>N48-O48</f>
        <v/>
      </c>
      <c r="R48" s="655">
        <f>P48-Q48</f>
        <v/>
      </c>
      <c r="S48" s="655" t="n"/>
      <c r="T48" s="655">
        <f>R48-S48</f>
        <v/>
      </c>
      <c r="U48" s="655">
        <f>I48*5%</f>
        <v/>
      </c>
      <c r="V48" s="655">
        <f>(I48-U48)/5</f>
        <v/>
      </c>
    </row>
    <row r="49">
      <c r="A49" s="72" t="inlineStr">
        <is>
          <t>Cell Phone Samsung</t>
        </is>
      </c>
      <c r="B49" s="50" t="inlineStr">
        <is>
          <t>Office Equipment</t>
        </is>
      </c>
      <c r="C49" s="88" t="inlineStr">
        <is>
          <t>Cell Phone</t>
        </is>
      </c>
      <c r="D49" s="89" t="n">
        <v>43689</v>
      </c>
      <c r="E49" s="871" t="n"/>
      <c r="F49" s="647" t="n"/>
      <c r="G49" s="911" t="n"/>
      <c r="H49" s="874" t="n"/>
      <c r="I49" s="912" t="n"/>
      <c r="J49" s="874" t="n"/>
      <c r="K49" s="872" t="n"/>
      <c r="L49" s="910" t="n"/>
      <c r="M49" s="655" t="n"/>
      <c r="N49" s="746">
        <f>I49-M49</f>
        <v/>
      </c>
      <c r="P49" s="655">
        <f>N49-O49</f>
        <v/>
      </c>
      <c r="R49" s="655">
        <f>P49-Q49</f>
        <v/>
      </c>
      <c r="S49" s="655" t="n"/>
      <c r="T49" s="655">
        <f>R49-S49</f>
        <v/>
      </c>
      <c r="U49" s="655">
        <f>I49*5%</f>
        <v/>
      </c>
      <c r="V49" s="655">
        <f>(I49-U49)/5</f>
        <v/>
      </c>
    </row>
    <row r="50">
      <c r="A50" s="72" t="inlineStr">
        <is>
          <t xml:space="preserve">Printer </t>
        </is>
      </c>
      <c r="B50" s="50" t="inlineStr">
        <is>
          <t>Office Equipment</t>
        </is>
      </c>
      <c r="C50" s="88" t="n"/>
      <c r="D50" s="89" t="n">
        <v>44008</v>
      </c>
      <c r="E50" s="871" t="n"/>
      <c r="F50" s="647" t="n"/>
      <c r="G50" s="911" t="n"/>
      <c r="H50" s="874" t="n"/>
      <c r="I50" s="912" t="n"/>
      <c r="J50" s="874" t="n"/>
      <c r="K50" s="872" t="n"/>
      <c r="L50" s="910" t="n"/>
      <c r="M50" s="655" t="n"/>
      <c r="N50" s="746" t="n"/>
      <c r="P50" s="655">
        <f>I50-O50</f>
        <v/>
      </c>
      <c r="R50" s="655">
        <f>P50-Q50</f>
        <v/>
      </c>
      <c r="S50" s="655" t="n"/>
      <c r="T50" s="655">
        <f>R50-S50</f>
        <v/>
      </c>
      <c r="U50" s="655">
        <f>I50*5%</f>
        <v/>
      </c>
      <c r="V50" s="655">
        <f>(I50-U50)/5</f>
        <v/>
      </c>
    </row>
    <row r="51">
      <c r="A51" s="72" t="inlineStr">
        <is>
          <t>UV Disinfection Machine</t>
        </is>
      </c>
      <c r="B51" s="50" t="inlineStr">
        <is>
          <t>Office Equipment</t>
        </is>
      </c>
      <c r="C51" s="88" t="n"/>
      <c r="D51" s="89" t="n">
        <v>44062</v>
      </c>
      <c r="E51" s="871" t="n"/>
      <c r="F51" s="647" t="n"/>
      <c r="G51" s="911" t="n"/>
      <c r="H51" s="874" t="n"/>
      <c r="I51" s="912" t="n"/>
      <c r="J51" s="874" t="n"/>
      <c r="K51" s="872" t="n"/>
      <c r="L51" s="910" t="n"/>
      <c r="M51" s="655" t="n"/>
      <c r="N51" s="746" t="n"/>
      <c r="P51" s="655">
        <f>I51-O51</f>
        <v/>
      </c>
      <c r="R51" s="655">
        <f>P51-Q51</f>
        <v/>
      </c>
      <c r="S51" s="655" t="n"/>
      <c r="T51" s="655">
        <f>R51-S51</f>
        <v/>
      </c>
      <c r="U51" s="655">
        <f>I51*5%</f>
        <v/>
      </c>
      <c r="V51" s="655">
        <f>(I51-U51)/5</f>
        <v/>
      </c>
    </row>
    <row r="52">
      <c r="A52" s="72" t="n"/>
      <c r="B52" s="50" t="n"/>
      <c r="C52" s="88" t="inlineStr">
        <is>
          <t>Camara Security system</t>
        </is>
      </c>
      <c r="D52" s="89" t="n">
        <v>44475</v>
      </c>
      <c r="E52" s="871" t="n"/>
      <c r="F52" s="647" t="n"/>
      <c r="G52" s="911" t="n"/>
      <c r="H52" s="874" t="n"/>
      <c r="I52" s="912" t="n"/>
      <c r="J52" s="874" t="n"/>
      <c r="K52" s="872" t="n"/>
      <c r="L52" s="910" t="n"/>
      <c r="M52" s="655" t="n"/>
      <c r="N52" s="746" t="n"/>
      <c r="P52" s="655" t="n"/>
      <c r="Q52" s="655">
        <f>8797*176/365</f>
        <v/>
      </c>
      <c r="R52" s="655">
        <f>E52-Q52</f>
        <v/>
      </c>
      <c r="S52" s="655" t="n"/>
      <c r="T52" s="655">
        <f>R52-S52</f>
        <v/>
      </c>
      <c r="U52" s="655">
        <f>E52*5%</f>
        <v/>
      </c>
      <c r="V52" s="655">
        <f>(E52-U52)/5</f>
        <v/>
      </c>
    </row>
    <row r="53">
      <c r="A53" s="72" t="n"/>
      <c r="B53" s="50" t="n"/>
      <c r="C53" s="88" t="inlineStr">
        <is>
          <t>Camara Security system</t>
        </is>
      </c>
      <c r="D53" s="89" t="n">
        <v>44557</v>
      </c>
      <c r="E53" s="871" t="n"/>
      <c r="F53" s="647" t="n"/>
      <c r="G53" s="911" t="n"/>
      <c r="H53" s="874" t="n"/>
      <c r="I53" s="912" t="n"/>
      <c r="J53" s="874" t="n"/>
      <c r="K53" s="872" t="n"/>
      <c r="L53" s="910" t="n"/>
      <c r="M53" s="655" t="n"/>
      <c r="N53" s="746" t="n"/>
      <c r="P53" s="655" t="n"/>
      <c r="Q53" s="655">
        <f>2251*94/365</f>
        <v/>
      </c>
      <c r="R53" s="655">
        <f>E53-Q53</f>
        <v/>
      </c>
      <c r="S53" s="655" t="n"/>
      <c r="T53" s="655">
        <f>R53-S53</f>
        <v/>
      </c>
      <c r="U53" s="655">
        <f>E53*5%</f>
        <v/>
      </c>
      <c r="V53" s="655">
        <f>(E53-U53)/5</f>
        <v/>
      </c>
    </row>
    <row r="54">
      <c r="A54" s="72" t="n"/>
      <c r="B54" s="50" t="n"/>
      <c r="C54" s="88" t="inlineStr">
        <is>
          <t>LED</t>
        </is>
      </c>
      <c r="D54" s="89" t="n">
        <v>44378</v>
      </c>
      <c r="E54" s="871" t="n"/>
      <c r="F54" s="647" t="n"/>
      <c r="G54" s="911" t="n"/>
      <c r="H54" s="874" t="n"/>
      <c r="I54" s="912" t="n"/>
      <c r="J54" s="874" t="n"/>
      <c r="K54" s="872" t="n"/>
      <c r="L54" s="910" t="n"/>
      <c r="M54" s="655" t="n"/>
      <c r="N54" s="746" t="n"/>
      <c r="P54" s="655" t="n"/>
      <c r="Q54" s="655">
        <f>8232*274/365</f>
        <v/>
      </c>
      <c r="R54" s="655">
        <f>E54-Q54</f>
        <v/>
      </c>
      <c r="S54" s="655" t="n"/>
      <c r="T54" s="655">
        <f>R54-S54</f>
        <v/>
      </c>
      <c r="U54" s="655">
        <f>E54*5%</f>
        <v/>
      </c>
      <c r="V54" s="655">
        <f>(E54-U54)/5</f>
        <v/>
      </c>
    </row>
    <row r="55">
      <c r="A55" s="72" t="n"/>
      <c r="B55" s="50" t="n"/>
      <c r="C55" s="88" t="inlineStr">
        <is>
          <t>Cell phone</t>
        </is>
      </c>
      <c r="D55" s="89" t="n">
        <v>44378</v>
      </c>
      <c r="E55" s="871" t="n"/>
      <c r="F55" s="647" t="n"/>
      <c r="G55" s="911" t="n"/>
      <c r="H55" s="874" t="n"/>
      <c r="I55" s="912" t="n"/>
      <c r="J55" s="874" t="n"/>
      <c r="K55" s="872" t="n"/>
      <c r="L55" s="910" t="n"/>
      <c r="M55" s="655" t="n"/>
      <c r="N55" s="746" t="n"/>
      <c r="P55" s="655" t="n"/>
      <c r="Q55" s="655">
        <f>1282*274/365</f>
        <v/>
      </c>
      <c r="R55" s="655">
        <f>E55-Q55</f>
        <v/>
      </c>
      <c r="S55" s="655" t="n"/>
      <c r="T55" s="655">
        <f>R55-S55</f>
        <v/>
      </c>
      <c r="U55" s="655">
        <f>E55*5%</f>
        <v/>
      </c>
      <c r="V55" s="655">
        <f>(E55-U55)/5</f>
        <v/>
      </c>
    </row>
    <row r="56">
      <c r="A56" s="72" t="n"/>
      <c r="B56" s="50" t="n"/>
      <c r="C56" s="88" t="inlineStr">
        <is>
          <t>Cell Phone</t>
        </is>
      </c>
      <c r="D56" s="89" t="n">
        <v>44382</v>
      </c>
      <c r="E56" s="871" t="n"/>
      <c r="F56" s="647" t="n"/>
      <c r="G56" s="911" t="n"/>
      <c r="H56" s="874" t="n"/>
      <c r="I56" s="912" t="n"/>
      <c r="J56" s="874" t="n"/>
      <c r="K56" s="872" t="n"/>
      <c r="L56" s="910" t="n"/>
      <c r="M56" s="655" t="n"/>
      <c r="N56" s="746" t="n"/>
      <c r="P56" s="655" t="n"/>
      <c r="Q56" s="655">
        <f>5072*270/365</f>
        <v/>
      </c>
      <c r="R56" s="655">
        <f>E56-Q56</f>
        <v/>
      </c>
      <c r="S56" s="655" t="n"/>
      <c r="T56" s="655">
        <f>R56-S56</f>
        <v/>
      </c>
      <c r="U56" s="655">
        <f>E56*5%</f>
        <v/>
      </c>
      <c r="V56" s="655">
        <f>(E56-U56)/5</f>
        <v/>
      </c>
    </row>
    <row r="57">
      <c r="A57" s="72" t="n"/>
      <c r="B57" s="50" t="n"/>
      <c r="C57" s="88" t="inlineStr">
        <is>
          <t>Invertor</t>
        </is>
      </c>
      <c r="D57" s="89" t="n">
        <v>44380</v>
      </c>
      <c r="E57" s="871" t="n"/>
      <c r="F57" s="647" t="n"/>
      <c r="G57" s="911" t="n"/>
      <c r="H57" s="874" t="n"/>
      <c r="I57" s="912" t="n"/>
      <c r="J57" s="874" t="n"/>
      <c r="K57" s="872" t="n"/>
      <c r="L57" s="910" t="n"/>
      <c r="M57" s="655" t="n"/>
      <c r="N57" s="746" t="n"/>
      <c r="P57" s="655" t="n"/>
      <c r="Q57" s="655">
        <f>1306*274/365</f>
        <v/>
      </c>
      <c r="R57" s="655">
        <f>E57-Q57</f>
        <v/>
      </c>
      <c r="S57" s="655" t="n"/>
      <c r="T57" s="655">
        <f>R57-S57</f>
        <v/>
      </c>
      <c r="U57" s="655">
        <f>E57*5%</f>
        <v/>
      </c>
      <c r="V57" s="655">
        <f>(E57-U57)/5</f>
        <v/>
      </c>
    </row>
    <row r="58">
      <c r="A58" s="72" t="n"/>
      <c r="B58" s="50" t="n"/>
      <c r="C58" s="88" t="inlineStr">
        <is>
          <t>Cell phone One +</t>
        </is>
      </c>
      <c r="D58" s="89" t="n">
        <v>44735</v>
      </c>
      <c r="E58" s="871" t="n"/>
      <c r="F58" s="647" t="n"/>
      <c r="G58" s="911" t="n"/>
      <c r="H58" s="874" t="n"/>
      <c r="I58" s="912" t="n"/>
      <c r="J58" s="874" t="n"/>
      <c r="K58" s="872" t="n"/>
      <c r="L58" s="910" t="n"/>
      <c r="M58" s="655" t="n"/>
      <c r="N58" s="746" t="n"/>
      <c r="P58" s="655" t="n"/>
      <c r="Q58" s="655" t="n"/>
      <c r="R58" s="655" t="n"/>
      <c r="S58" s="655" t="n"/>
      <c r="T58" s="655">
        <f>(V58/365)*281</f>
        <v/>
      </c>
      <c r="U58" s="655">
        <f>E58*5%</f>
        <v/>
      </c>
      <c r="V58" s="655">
        <f>(E58-U58)/5</f>
        <v/>
      </c>
    </row>
    <row r="59">
      <c r="A59" s="72" t="n"/>
      <c r="B59" s="50" t="n"/>
      <c r="C59" s="88" t="inlineStr">
        <is>
          <t>Cell phone Samsung</t>
        </is>
      </c>
      <c r="D59" s="89" t="n">
        <v>44981</v>
      </c>
      <c r="E59" s="871" t="n"/>
      <c r="F59" s="647" t="n"/>
      <c r="G59" s="911" t="n"/>
      <c r="H59" s="874" t="n"/>
      <c r="I59" s="912" t="n"/>
      <c r="J59" s="874" t="n"/>
      <c r="K59" s="872" t="n"/>
      <c r="L59" s="910" t="n"/>
      <c r="M59" s="655" t="n"/>
      <c r="N59" s="746" t="n"/>
      <c r="P59" s="655" t="n"/>
      <c r="Q59" s="655" t="n"/>
      <c r="R59" s="655" t="n"/>
      <c r="S59" s="655" t="n"/>
      <c r="T59" s="655">
        <f>(V59/365)*35</f>
        <v/>
      </c>
      <c r="U59" s="655">
        <f>E59*5%</f>
        <v/>
      </c>
      <c r="V59" s="655">
        <f>(E59-U59)/5</f>
        <v/>
      </c>
    </row>
    <row r="60">
      <c r="A60" s="72" t="n"/>
      <c r="B60" s="50" t="n"/>
      <c r="C60" s="88" t="inlineStr">
        <is>
          <t>Telivision</t>
        </is>
      </c>
      <c r="D60" s="89" t="n">
        <v>44827</v>
      </c>
      <c r="E60" s="871" t="n"/>
      <c r="F60" s="647" t="n"/>
      <c r="G60" s="911" t="n"/>
      <c r="H60" s="874" t="n"/>
      <c r="I60" s="912" t="n"/>
      <c r="J60" s="874" t="n"/>
      <c r="K60" s="872" t="n"/>
      <c r="L60" s="910" t="n"/>
      <c r="M60" s="655" t="n"/>
      <c r="N60" s="746" t="n"/>
      <c r="P60" s="655" t="n"/>
      <c r="Q60" s="655" t="n"/>
      <c r="R60" s="655" t="n"/>
      <c r="S60" s="655" t="n"/>
      <c r="T60" s="655">
        <f>(V60/365)*189</f>
        <v/>
      </c>
      <c r="U60" s="655">
        <f>E60*5%</f>
        <v/>
      </c>
      <c r="V60" s="655">
        <f>(E60-U60)/5</f>
        <v/>
      </c>
    </row>
    <row r="61">
      <c r="A61" s="72" t="n"/>
      <c r="B61" s="50" t="n"/>
      <c r="C61" s="88" t="n"/>
      <c r="D61" s="89" t="n"/>
      <c r="E61" s="871" t="n"/>
      <c r="F61" s="647" t="n"/>
      <c r="G61" s="911" t="n"/>
      <c r="H61" s="874" t="n"/>
      <c r="I61" s="912" t="n"/>
      <c r="J61" s="874" t="n"/>
      <c r="K61" s="872" t="n"/>
      <c r="L61" s="910" t="n"/>
      <c r="M61" s="655" t="n"/>
      <c r="N61" s="746" t="n"/>
      <c r="P61" s="655" t="n"/>
      <c r="Q61" s="655" t="n"/>
      <c r="R61" s="655" t="n"/>
      <c r="S61" s="655" t="n"/>
      <c r="T61" s="655" t="n"/>
      <c r="U61" s="655" t="n"/>
      <c r="V61" s="655" t="n"/>
    </row>
    <row r="62">
      <c r="A62" s="72" t="n"/>
      <c r="B62" s="50" t="n"/>
      <c r="C62" s="88" t="n"/>
      <c r="D62" s="89" t="n"/>
      <c r="E62" s="871" t="n"/>
      <c r="F62" s="647" t="n"/>
      <c r="G62" s="911" t="n"/>
      <c r="H62" s="874" t="n"/>
      <c r="I62" s="912" t="n"/>
      <c r="J62" s="874" t="n"/>
      <c r="K62" s="872" t="n"/>
      <c r="L62" s="910" t="n"/>
      <c r="M62" s="655" t="n"/>
      <c r="N62" s="746" t="n"/>
      <c r="P62" s="655" t="n"/>
      <c r="Q62" s="655" t="n"/>
      <c r="R62" s="655" t="n"/>
      <c r="S62" s="655" t="n"/>
      <c r="T62" s="655" t="n"/>
      <c r="U62" s="655" t="n"/>
      <c r="V62" s="655" t="n"/>
    </row>
    <row r="63">
      <c r="A63" s="72" t="n"/>
      <c r="B63" s="50" t="n"/>
      <c r="C63" s="88" t="n"/>
      <c r="D63" s="89" t="n"/>
      <c r="E63" s="871" t="n"/>
      <c r="F63" s="647" t="n"/>
      <c r="G63" s="911" t="n"/>
      <c r="H63" s="874" t="n"/>
      <c r="I63" s="912" t="n"/>
      <c r="J63" s="874" t="n"/>
      <c r="K63" s="872" t="n"/>
      <c r="L63" s="910" t="n"/>
      <c r="M63" s="655" t="n"/>
      <c r="N63" s="746" t="n"/>
      <c r="P63" s="655" t="n"/>
      <c r="Q63" s="655" t="n"/>
      <c r="R63" s="655" t="n"/>
      <c r="S63" s="655" t="n"/>
      <c r="T63" s="655" t="n"/>
      <c r="U63" s="655" t="n"/>
      <c r="V63" s="655" t="n"/>
    </row>
    <row r="64">
      <c r="A64" s="57" t="n"/>
      <c r="B64" s="50" t="n"/>
      <c r="C64" s="58" t="n"/>
      <c r="D64" s="59" t="n"/>
      <c r="E64" s="913">
        <f>SUM(E38:E63)</f>
        <v/>
      </c>
      <c r="F64" s="879">
        <f>G64+H64</f>
        <v/>
      </c>
      <c r="G64" s="914">
        <f>SUM(G38:G47)</f>
        <v/>
      </c>
      <c r="H64" s="914">
        <f>SUM(H38:H47)</f>
        <v/>
      </c>
      <c r="I64" s="915">
        <f>SUM(I38:I51)</f>
        <v/>
      </c>
      <c r="J64" s="914">
        <f>SUM(J38:J47)</f>
        <v/>
      </c>
      <c r="K64" s="916">
        <f>SUM(K38:K47)</f>
        <v/>
      </c>
      <c r="L64" s="910" t="n"/>
      <c r="M64" s="883">
        <f>SUM(M38:M51)</f>
        <v/>
      </c>
      <c r="N64" s="884">
        <f>SUM(N38:N51)</f>
        <v/>
      </c>
      <c r="O64" s="135">
        <f>SUM(O38:O51)</f>
        <v/>
      </c>
      <c r="P64" s="887">
        <f>SUM(P38:P51)</f>
        <v/>
      </c>
      <c r="Q64" s="887">
        <f>SUM(Q48:Q57)</f>
        <v/>
      </c>
      <c r="R64" s="887">
        <f>SUM(R48:R57)</f>
        <v/>
      </c>
      <c r="S64" s="917">
        <f>SUM(S48:S63)</f>
        <v/>
      </c>
      <c r="T64" s="656">
        <f>SUM(T48:T63)</f>
        <v/>
      </c>
      <c r="U64" s="655" t="n"/>
      <c r="V64" s="655" t="n"/>
    </row>
    <row r="65">
      <c r="A65" s="840" t="inlineStr">
        <is>
          <t>IV. FURNITURE AND FIXTURES</t>
        </is>
      </c>
      <c r="B65" s="50" t="n"/>
      <c r="C65" s="58" t="n"/>
      <c r="D65" s="59" t="n"/>
      <c r="E65" s="871" t="n"/>
      <c r="F65" s="873" t="n"/>
      <c r="G65" s="874" t="n"/>
      <c r="H65" s="874" t="n"/>
      <c r="I65" s="912" t="n"/>
      <c r="J65" s="874" t="n"/>
      <c r="K65" s="874" t="n"/>
      <c r="L65" s="910" t="n"/>
      <c r="M65" s="655" t="n"/>
      <c r="N65" s="746">
        <f>K65-M65</f>
        <v/>
      </c>
      <c r="Q65" s="655" t="n"/>
      <c r="R65" s="655" t="n"/>
    </row>
    <row r="66">
      <c r="A66" s="57" t="inlineStr">
        <is>
          <t>Furniture</t>
        </is>
      </c>
      <c r="B66" s="50" t="inlineStr">
        <is>
          <t>Furniture</t>
        </is>
      </c>
      <c r="C66" s="58" t="inlineStr">
        <is>
          <t>Furniture</t>
        </is>
      </c>
      <c r="D66" s="59" t="n"/>
      <c r="E66" s="871" t="n"/>
      <c r="F66" s="873">
        <f>G66+H66</f>
        <v/>
      </c>
      <c r="G66" s="874" t="n"/>
      <c r="H66" s="874" t="n"/>
      <c r="I66" s="912" t="n"/>
      <c r="J66" s="874">
        <f>G66</f>
        <v/>
      </c>
      <c r="K66" s="874">
        <f>H66-J66</f>
        <v/>
      </c>
      <c r="L66" s="910" t="n"/>
      <c r="M66" s="655" t="n"/>
      <c r="N66" s="746">
        <f>K66-M66</f>
        <v/>
      </c>
      <c r="P66" s="746">
        <f>N66-O66</f>
        <v/>
      </c>
      <c r="Q66" s="655" t="n"/>
      <c r="R66" s="655">
        <f>P66-Q66</f>
        <v/>
      </c>
      <c r="S66" s="655" t="n"/>
      <c r="T66" s="655">
        <f>R66-S66</f>
        <v/>
      </c>
      <c r="U66" s="647">
        <f>E66*5%</f>
        <v/>
      </c>
      <c r="V66" s="647">
        <f>(E66-U66)/10</f>
        <v/>
      </c>
    </row>
    <row r="67">
      <c r="A67" s="57" t="n"/>
      <c r="B67" s="50" t="n"/>
      <c r="C67" s="58" t="inlineStr">
        <is>
          <t>Furniture</t>
        </is>
      </c>
      <c r="D67" s="59" t="n">
        <v>44447</v>
      </c>
      <c r="E67" s="871" t="n"/>
      <c r="F67" s="874" t="n"/>
      <c r="G67" s="874" t="n"/>
      <c r="H67" s="874" t="n"/>
      <c r="I67" s="912" t="n"/>
      <c r="J67" s="874" t="n"/>
      <c r="K67" s="872" t="n"/>
      <c r="L67" s="910" t="n"/>
      <c r="M67" s="655" t="n"/>
      <c r="N67" s="746" t="n"/>
      <c r="P67" s="746" t="n"/>
      <c r="Q67" s="655">
        <f>23324*184/365</f>
        <v/>
      </c>
      <c r="R67" s="655">
        <f>E67-Q67</f>
        <v/>
      </c>
      <c r="S67" s="655" t="n"/>
      <c r="T67" s="655">
        <f>R67-S67</f>
        <v/>
      </c>
      <c r="U67" s="647">
        <f>E67*5%</f>
        <v/>
      </c>
      <c r="V67" s="647">
        <f>(E67-U67)/10</f>
        <v/>
      </c>
    </row>
    <row r="68">
      <c r="A68" s="57" t="n"/>
      <c r="B68" s="50" t="n"/>
      <c r="C68" s="58" t="inlineStr">
        <is>
          <t>Furniture</t>
        </is>
      </c>
      <c r="D68" s="59" t="n">
        <v>44523</v>
      </c>
      <c r="E68" s="871" t="n"/>
      <c r="F68" s="874" t="n"/>
      <c r="G68" s="874" t="n"/>
      <c r="H68" s="874" t="n"/>
      <c r="I68" s="912" t="n"/>
      <c r="J68" s="874" t="n"/>
      <c r="K68" s="872" t="n"/>
      <c r="L68" s="910" t="n"/>
      <c r="M68" s="655" t="n"/>
      <c r="N68" s="746" t="n"/>
      <c r="P68" s="746" t="n"/>
      <c r="Q68" s="655">
        <f>377*128/365</f>
        <v/>
      </c>
      <c r="R68" s="655">
        <f>E68-Q68</f>
        <v/>
      </c>
      <c r="S68" s="655" t="n"/>
      <c r="T68" s="655">
        <f>R68-S68</f>
        <v/>
      </c>
      <c r="U68" s="647">
        <f>E68*5%</f>
        <v/>
      </c>
      <c r="V68" s="647">
        <f>(E68-U68)/10</f>
        <v/>
      </c>
    </row>
    <row r="69">
      <c r="A69" s="57" t="n"/>
      <c r="B69" s="50" t="n"/>
      <c r="C69" s="58" t="inlineStr">
        <is>
          <t>Furniture</t>
        </is>
      </c>
      <c r="D69" s="59" t="n">
        <v>44635</v>
      </c>
      <c r="E69" s="871" t="n"/>
      <c r="F69" s="874" t="n"/>
      <c r="G69" s="874" t="n"/>
      <c r="H69" s="874" t="n"/>
      <c r="I69" s="912" t="n"/>
      <c r="J69" s="874" t="n"/>
      <c r="K69" s="872" t="n"/>
      <c r="L69" s="910" t="n"/>
      <c r="M69" s="655" t="n"/>
      <c r="N69" s="746" t="n"/>
      <c r="P69" s="746" t="n"/>
      <c r="Q69" s="655">
        <f>5394*16/365</f>
        <v/>
      </c>
      <c r="R69" s="655">
        <f>E69-Q69</f>
        <v/>
      </c>
      <c r="S69" s="655" t="n"/>
      <c r="T69" s="655">
        <f>R69-S69</f>
        <v/>
      </c>
      <c r="U69" s="647">
        <f>E69*5%</f>
        <v/>
      </c>
      <c r="V69" s="647">
        <f>(E69-U69)/10</f>
        <v/>
      </c>
    </row>
    <row r="70">
      <c r="A70" s="57" t="n"/>
      <c r="B70" s="50" t="n"/>
      <c r="C70" s="58" t="n"/>
      <c r="D70" s="59" t="n"/>
      <c r="E70" s="871" t="n"/>
      <c r="F70" s="874" t="n"/>
      <c r="G70" s="874" t="n"/>
      <c r="H70" s="874" t="n"/>
      <c r="I70" s="912" t="n"/>
      <c r="J70" s="874" t="n"/>
      <c r="K70" s="872" t="n"/>
      <c r="L70" s="910" t="n"/>
      <c r="M70" s="655" t="n"/>
      <c r="N70" s="746" t="n"/>
      <c r="P70" s="746" t="n"/>
      <c r="Q70" s="655" t="n"/>
      <c r="R70" s="655" t="n"/>
      <c r="S70" s="655" t="n"/>
      <c r="T70" s="655" t="n"/>
    </row>
    <row r="71">
      <c r="A71" s="139" t="n"/>
      <c r="B71" s="140" t="n"/>
      <c r="C71" s="141" t="n"/>
      <c r="D71" s="142" t="n"/>
      <c r="E71" s="913">
        <f>SUM(E66:E70)</f>
        <v/>
      </c>
      <c r="F71" s="914">
        <f>G71+H71</f>
        <v/>
      </c>
      <c r="G71" s="914">
        <f>G66</f>
        <v/>
      </c>
      <c r="H71" s="914">
        <f>H66</f>
        <v/>
      </c>
      <c r="I71" s="915">
        <f>SUM(I66)</f>
        <v/>
      </c>
      <c r="J71" s="914">
        <f>J66</f>
        <v/>
      </c>
      <c r="K71" s="916">
        <f>K66</f>
        <v/>
      </c>
      <c r="L71" s="918" t="n"/>
      <c r="M71" s="919" t="n"/>
      <c r="N71" s="920">
        <f>K71-M71</f>
        <v/>
      </c>
      <c r="O71" s="146">
        <f>SUM(O66)</f>
        <v/>
      </c>
      <c r="P71" s="920">
        <f>SUM(P66)</f>
        <v/>
      </c>
      <c r="Q71" s="919">
        <f>SUM(Q66:Q70)</f>
        <v/>
      </c>
      <c r="R71" s="919">
        <f>SUM(R66:R70)</f>
        <v/>
      </c>
      <c r="S71" s="919">
        <f>SUM(S66:S70)</f>
        <v/>
      </c>
      <c r="T71" s="919">
        <f>SUM(T66:T70)</f>
        <v/>
      </c>
    </row>
    <row r="72">
      <c r="A72" s="625" t="n"/>
      <c r="B72" s="921" t="n"/>
      <c r="C72" s="921" t="n"/>
      <c r="D72" s="921" t="n"/>
      <c r="E72" s="877">
        <f>SUM(E31+E36+E64+E71)</f>
        <v/>
      </c>
      <c r="F72" s="879">
        <f>SUM(F31+F36+F64+F71)</f>
        <v/>
      </c>
      <c r="G72" s="879">
        <f>SUM(G31+G36+G64+G71)</f>
        <v/>
      </c>
      <c r="H72" s="879">
        <f>SUM(H31+H36+H64+H71)</f>
        <v/>
      </c>
      <c r="I72" s="922">
        <f>I71+I64+I36+I31</f>
        <v/>
      </c>
      <c r="J72" s="879">
        <f>SUM(J31+J36+J64+J71)</f>
        <v/>
      </c>
      <c r="K72" s="879">
        <f>SUM(K31+K36+K64+K71)</f>
        <v/>
      </c>
      <c r="L72" s="148" t="n"/>
      <c r="M72" s="887">
        <f>M31+M36+M64+M71</f>
        <v/>
      </c>
      <c r="N72" s="886">
        <f>N31+N36+N64+N71</f>
        <v/>
      </c>
      <c r="O72" s="886">
        <f>O31+O36+O64+O71</f>
        <v/>
      </c>
      <c r="P72" s="886">
        <f>P31+P36+P64+P71</f>
        <v/>
      </c>
      <c r="Q72" s="886">
        <f>Q31+Q36+Q64+Q71</f>
        <v/>
      </c>
      <c r="R72" s="886">
        <f>R31+R36+R64+R71</f>
        <v/>
      </c>
      <c r="S72" s="655">
        <f>S31+S36+S64+S71</f>
        <v/>
      </c>
      <c r="T72" s="655">
        <f>T31+T36+T64+T71</f>
        <v/>
      </c>
    </row>
    <row r="73">
      <c r="D73" s="59" t="n"/>
    </row>
    <row r="74">
      <c r="A74" t="inlineStr">
        <is>
          <t>**P &amp; M --15% ??</t>
        </is>
      </c>
      <c r="D74" s="59" t="n"/>
      <c r="E74" s="647" t="n"/>
      <c r="R74" s="647" t="n"/>
    </row>
    <row r="75">
      <c r="E75" s="647">
        <f>E58+E60</f>
        <v/>
      </c>
    </row>
  </sheetData>
  <mergeCells count="6">
    <mergeCell ref="A1:F1"/>
    <mergeCell ref="B5:F5"/>
    <mergeCell ref="A72:D72"/>
    <mergeCell ref="K5:L5"/>
    <mergeCell ref="A6:A7"/>
    <mergeCell ref="G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</dc:creator>
  <dcterms:created xmlns:dcterms="http://purl.org/dc/terms/" xmlns:xsi="http://www.w3.org/2001/XMLSchema-instance" xsi:type="dcterms:W3CDTF">2022-09-28T06:41:00Z</dcterms:created>
  <dcterms:modified xmlns:dcterms="http://purl.org/dc/terms/" xmlns:xsi="http://www.w3.org/2001/XMLSchema-instance" xsi:type="dcterms:W3CDTF">2026-05-17T14:45:41Z</dcterms:modified>
  <cp:lastModifiedBy>CA Jagadeeshwar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A27B14D55BAD47BCB9DF2AF1470B734F_12</vt:lpwstr>
  </property>
  <property name="KSOProductBuildVer" fmtid="{D5CDD505-2E9C-101B-9397-08002B2CF9AE}" pid="3">
    <vt:lpwstr xmlns:vt="http://schemas.openxmlformats.org/officeDocument/2006/docPropsVTypes">1033-12.2.0.13266</vt:lpwstr>
  </property>
</Properties>
</file>